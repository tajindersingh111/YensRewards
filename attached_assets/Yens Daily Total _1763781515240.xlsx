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onardfraser/Desktop/"/>
    </mc:Choice>
  </mc:AlternateContent>
  <xr:revisionPtr revIDLastSave="0" documentId="13_ncr:1_{71340DB7-2A85-C141-AAB8-C4068CFD7669}" xr6:coauthVersionLast="47" xr6:coauthVersionMax="47" xr10:uidLastSave="{00000000-0000-0000-0000-000000000000}"/>
  <bookViews>
    <workbookView xWindow="0" yWindow="680" windowWidth="30240" windowHeight="17700" activeTab="12" xr2:uid="{03C4BEBD-53C8-1D44-9039-F24456833BD1}"/>
  </bookViews>
  <sheets>
    <sheet name="Forcast" sheetId="4" r:id="rId1"/>
    <sheet name="Dec 24" sheetId="1" r:id="rId2"/>
    <sheet name="January 25" sheetId="3" r:id="rId3"/>
    <sheet name="February 25" sheetId="2" r:id="rId4"/>
    <sheet name="March 25" sheetId="5" r:id="rId5"/>
    <sheet name="April 25" sheetId="6" r:id="rId6"/>
    <sheet name="May 25" sheetId="8" r:id="rId7"/>
    <sheet name="June 25" sheetId="7" r:id="rId8"/>
    <sheet name="July 25" sheetId="9" r:id="rId9"/>
    <sheet name="Aug 25" sheetId="10" r:id="rId10"/>
    <sheet name="Sept 25" sheetId="11" r:id="rId11"/>
    <sheet name="Oct 25" sheetId="12" r:id="rId12"/>
    <sheet name="Nov 25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" i="13" l="1"/>
  <c r="F34" i="13"/>
  <c r="F21" i="13"/>
  <c r="F22" i="13"/>
  <c r="F19" i="13"/>
  <c r="F20" i="13"/>
  <c r="F14" i="13"/>
  <c r="F71" i="13"/>
  <c r="F70" i="13"/>
  <c r="F69" i="13"/>
  <c r="F68" i="13"/>
  <c r="F67" i="13"/>
  <c r="F66" i="13"/>
  <c r="F65" i="13"/>
  <c r="F64" i="13"/>
  <c r="F63" i="13"/>
  <c r="F62" i="13"/>
  <c r="F61" i="13"/>
  <c r="F60" i="13"/>
  <c r="F59" i="13"/>
  <c r="F58" i="13"/>
  <c r="F57" i="13"/>
  <c r="F56" i="13"/>
  <c r="F55" i="13"/>
  <c r="F54" i="13"/>
  <c r="F53" i="13"/>
  <c r="F52" i="13"/>
  <c r="F51" i="13"/>
  <c r="F50" i="13"/>
  <c r="F49" i="13"/>
  <c r="F47" i="13"/>
  <c r="F46" i="13"/>
  <c r="F45" i="13"/>
  <c r="F44" i="13"/>
  <c r="J6" i="13" s="1"/>
  <c r="F43" i="13"/>
  <c r="F42" i="13"/>
  <c r="F40" i="13"/>
  <c r="F39" i="13"/>
  <c r="F38" i="13"/>
  <c r="F37" i="13"/>
  <c r="F35" i="13"/>
  <c r="F33" i="13"/>
  <c r="F32" i="13"/>
  <c r="F31" i="13"/>
  <c r="F30" i="13"/>
  <c r="F29" i="13"/>
  <c r="F28" i="13"/>
  <c r="F27" i="13"/>
  <c r="F26" i="13"/>
  <c r="F25" i="13"/>
  <c r="F24" i="13"/>
  <c r="F18" i="13"/>
  <c r="F17" i="13"/>
  <c r="F16" i="13"/>
  <c r="F15" i="13"/>
  <c r="F13" i="13"/>
  <c r="F12" i="13"/>
  <c r="F11" i="13"/>
  <c r="F10" i="13"/>
  <c r="F9" i="13"/>
  <c r="F8" i="13"/>
  <c r="F7" i="13"/>
  <c r="F6" i="13"/>
  <c r="F5" i="13"/>
  <c r="F64" i="12"/>
  <c r="F63" i="12"/>
  <c r="F62" i="12"/>
  <c r="F61" i="12"/>
  <c r="F60" i="12"/>
  <c r="F59" i="12"/>
  <c r="F58" i="12"/>
  <c r="F57" i="12"/>
  <c r="F56" i="12"/>
  <c r="H55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H43" i="12" s="1"/>
  <c r="F43" i="12"/>
  <c r="F42" i="12"/>
  <c r="F40" i="12"/>
  <c r="F39" i="12"/>
  <c r="F38" i="12"/>
  <c r="F37" i="12"/>
  <c r="F36" i="12"/>
  <c r="F35" i="12"/>
  <c r="F34" i="12"/>
  <c r="F33" i="12"/>
  <c r="F32" i="12"/>
  <c r="F31" i="12"/>
  <c r="F29" i="12"/>
  <c r="F28" i="12"/>
  <c r="F27" i="12"/>
  <c r="F26" i="12"/>
  <c r="F25" i="12"/>
  <c r="F24" i="12"/>
  <c r="F23" i="12"/>
  <c r="F22" i="12"/>
  <c r="F21" i="12"/>
  <c r="F20" i="12"/>
  <c r="F19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10" i="11"/>
  <c r="F7" i="11"/>
  <c r="F64" i="11"/>
  <c r="F63" i="11"/>
  <c r="F62" i="11"/>
  <c r="F61" i="11"/>
  <c r="F60" i="11"/>
  <c r="F59" i="11"/>
  <c r="F58" i="11"/>
  <c r="F57" i="11"/>
  <c r="F56" i="11"/>
  <c r="F55" i="11"/>
  <c r="F54" i="11"/>
  <c r="F53" i="11"/>
  <c r="F52" i="11"/>
  <c r="F51" i="11"/>
  <c r="F50" i="11"/>
  <c r="F49" i="11"/>
  <c r="F48" i="11"/>
  <c r="F47" i="11"/>
  <c r="F46" i="11"/>
  <c r="F45" i="11"/>
  <c r="F44" i="11"/>
  <c r="F43" i="11"/>
  <c r="F42" i="11"/>
  <c r="F40" i="11"/>
  <c r="F39" i="11"/>
  <c r="F38" i="11"/>
  <c r="F37" i="11"/>
  <c r="F36" i="11"/>
  <c r="F35" i="11"/>
  <c r="F34" i="11"/>
  <c r="F33" i="11"/>
  <c r="F32" i="11"/>
  <c r="F31" i="11"/>
  <c r="F29" i="11"/>
  <c r="F28" i="11"/>
  <c r="F27" i="11"/>
  <c r="F26" i="11"/>
  <c r="F25" i="11"/>
  <c r="F24" i="11"/>
  <c r="F23" i="11"/>
  <c r="F22" i="11"/>
  <c r="F21" i="11"/>
  <c r="F20" i="11"/>
  <c r="F19" i="11"/>
  <c r="F17" i="11"/>
  <c r="F16" i="11"/>
  <c r="F15" i="11"/>
  <c r="F14" i="11"/>
  <c r="F13" i="11"/>
  <c r="F12" i="11"/>
  <c r="F11" i="11"/>
  <c r="F9" i="11"/>
  <c r="F8" i="11"/>
  <c r="F6" i="11"/>
  <c r="F5" i="11"/>
  <c r="F22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8" i="10"/>
  <c r="F37" i="10"/>
  <c r="F36" i="10"/>
  <c r="F35" i="10"/>
  <c r="F34" i="10"/>
  <c r="F33" i="10"/>
  <c r="F32" i="10"/>
  <c r="F31" i="10"/>
  <c r="F30" i="10"/>
  <c r="F29" i="10"/>
  <c r="F27" i="10"/>
  <c r="F26" i="10"/>
  <c r="F25" i="10"/>
  <c r="F24" i="10"/>
  <c r="F23" i="10"/>
  <c r="F21" i="10"/>
  <c r="F20" i="10"/>
  <c r="F19" i="10"/>
  <c r="F18" i="10"/>
  <c r="F17" i="10"/>
  <c r="F15" i="10"/>
  <c r="F14" i="10"/>
  <c r="F13" i="10"/>
  <c r="F12" i="10"/>
  <c r="Q11" i="10"/>
  <c r="R11" i="10" s="1"/>
  <c r="F11" i="10"/>
  <c r="F10" i="10"/>
  <c r="Q9" i="10"/>
  <c r="R9" i="10" s="1"/>
  <c r="F9" i="10"/>
  <c r="Q8" i="10"/>
  <c r="R8" i="10" s="1"/>
  <c r="F8" i="10"/>
  <c r="Q7" i="10"/>
  <c r="R7" i="10" s="1"/>
  <c r="F7" i="10"/>
  <c r="F6" i="10"/>
  <c r="F5" i="10"/>
  <c r="F51" i="9"/>
  <c r="F52" i="9"/>
  <c r="F53" i="9"/>
  <c r="F54" i="9"/>
  <c r="F55" i="9"/>
  <c r="F56" i="9"/>
  <c r="F57" i="9"/>
  <c r="F58" i="9"/>
  <c r="F59" i="9"/>
  <c r="F60" i="9"/>
  <c r="F61" i="9"/>
  <c r="J6" i="9" s="1"/>
  <c r="F62" i="9"/>
  <c r="F10" i="9"/>
  <c r="F50" i="9"/>
  <c r="F49" i="9"/>
  <c r="F48" i="9"/>
  <c r="F47" i="9"/>
  <c r="F46" i="9"/>
  <c r="F45" i="9"/>
  <c r="F44" i="9"/>
  <c r="F43" i="9"/>
  <c r="F42" i="9"/>
  <c r="F41" i="9"/>
  <c r="F40" i="9"/>
  <c r="F38" i="9"/>
  <c r="F37" i="9"/>
  <c r="F36" i="9"/>
  <c r="F35" i="9"/>
  <c r="F34" i="9"/>
  <c r="F33" i="9"/>
  <c r="F32" i="9"/>
  <c r="F31" i="9"/>
  <c r="F30" i="9"/>
  <c r="F29" i="9"/>
  <c r="F28" i="9"/>
  <c r="F26" i="9"/>
  <c r="F25" i="9"/>
  <c r="F24" i="9"/>
  <c r="F23" i="9"/>
  <c r="F22" i="9"/>
  <c r="F21" i="9"/>
  <c r="F20" i="9"/>
  <c r="F19" i="9"/>
  <c r="F18" i="9"/>
  <c r="F17" i="9"/>
  <c r="F15" i="9"/>
  <c r="F14" i="9"/>
  <c r="F13" i="9"/>
  <c r="F12" i="9"/>
  <c r="Q11" i="9"/>
  <c r="R11" i="9" s="1"/>
  <c r="F11" i="9"/>
  <c r="Q9" i="9"/>
  <c r="R9" i="9" s="1"/>
  <c r="F9" i="9"/>
  <c r="Q8" i="9"/>
  <c r="R8" i="9" s="1"/>
  <c r="F8" i="9"/>
  <c r="Q7" i="9"/>
  <c r="R7" i="9" s="1"/>
  <c r="F7" i="9"/>
  <c r="F6" i="9"/>
  <c r="F5" i="9"/>
  <c r="F46" i="7"/>
  <c r="F13" i="7"/>
  <c r="F73" i="8"/>
  <c r="F72" i="8"/>
  <c r="F71" i="8"/>
  <c r="F70" i="8"/>
  <c r="F69" i="8"/>
  <c r="F68" i="8"/>
  <c r="F67" i="8"/>
  <c r="F66" i="8"/>
  <c r="F65" i="8"/>
  <c r="F64" i="8"/>
  <c r="F63" i="8"/>
  <c r="H62" i="8"/>
  <c r="F62" i="8"/>
  <c r="F61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H46" i="8"/>
  <c r="F46" i="8"/>
  <c r="F45" i="8"/>
  <c r="F43" i="8"/>
  <c r="F42" i="8"/>
  <c r="F41" i="8"/>
  <c r="F40" i="8"/>
  <c r="F39" i="8"/>
  <c r="F38" i="8"/>
  <c r="F37" i="8"/>
  <c r="F36" i="8"/>
  <c r="F35" i="8"/>
  <c r="F34" i="8"/>
  <c r="F33" i="8"/>
  <c r="F32" i="8"/>
  <c r="H31" i="8"/>
  <c r="F31" i="8"/>
  <c r="F30" i="8"/>
  <c r="F28" i="8"/>
  <c r="F27" i="8"/>
  <c r="F26" i="8"/>
  <c r="F25" i="8"/>
  <c r="F24" i="8"/>
  <c r="F23" i="8"/>
  <c r="F22" i="8"/>
  <c r="F21" i="8"/>
  <c r="F20" i="8"/>
  <c r="F19" i="8"/>
  <c r="F18" i="8"/>
  <c r="F17" i="8"/>
  <c r="H16" i="8"/>
  <c r="F16" i="8"/>
  <c r="F15" i="8"/>
  <c r="F13" i="8"/>
  <c r="F12" i="8"/>
  <c r="F11" i="8"/>
  <c r="F10" i="8"/>
  <c r="Q9" i="8"/>
  <c r="R9" i="8" s="1"/>
  <c r="F9" i="8"/>
  <c r="Q8" i="8"/>
  <c r="R8" i="8" s="1"/>
  <c r="F8" i="8"/>
  <c r="Q7" i="8"/>
  <c r="R7" i="8" s="1"/>
  <c r="F7" i="8"/>
  <c r="Q6" i="8"/>
  <c r="R6" i="8" s="1"/>
  <c r="F6" i="8"/>
  <c r="J5" i="8"/>
  <c r="H5" i="8"/>
  <c r="F5" i="8"/>
  <c r="F4" i="8"/>
  <c r="F49" i="7"/>
  <c r="F39" i="7"/>
  <c r="F37" i="7"/>
  <c r="F35" i="7"/>
  <c r="F23" i="7"/>
  <c r="F12" i="7"/>
  <c r="F54" i="7"/>
  <c r="F53" i="7"/>
  <c r="F51" i="7"/>
  <c r="F50" i="7"/>
  <c r="F48" i="7"/>
  <c r="F47" i="7"/>
  <c r="F45" i="7"/>
  <c r="F44" i="7"/>
  <c r="F43" i="7"/>
  <c r="F42" i="7"/>
  <c r="F41" i="7"/>
  <c r="F38" i="7"/>
  <c r="F36" i="7"/>
  <c r="F34" i="7"/>
  <c r="F33" i="7"/>
  <c r="F32" i="7"/>
  <c r="F31" i="7"/>
  <c r="F30" i="7"/>
  <c r="F29" i="7"/>
  <c r="F27" i="7"/>
  <c r="F26" i="7"/>
  <c r="F25" i="7"/>
  <c r="F24" i="7"/>
  <c r="F22" i="7"/>
  <c r="F21" i="7"/>
  <c r="F20" i="7"/>
  <c r="F19" i="7"/>
  <c r="F18" i="7"/>
  <c r="F17" i="7"/>
  <c r="F15" i="7"/>
  <c r="F14" i="7"/>
  <c r="Q11" i="7"/>
  <c r="R11" i="7" s="1"/>
  <c r="F11" i="7"/>
  <c r="Q10" i="7"/>
  <c r="R10" i="7" s="1"/>
  <c r="F10" i="7"/>
  <c r="Q9" i="7"/>
  <c r="R9" i="7" s="1"/>
  <c r="F9" i="7"/>
  <c r="Q8" i="7"/>
  <c r="R8" i="7" s="1"/>
  <c r="F8" i="7"/>
  <c r="F7" i="7"/>
  <c r="F6" i="7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6" i="6"/>
  <c r="F35" i="6"/>
  <c r="F34" i="6"/>
  <c r="F33" i="6"/>
  <c r="F32" i="6"/>
  <c r="F31" i="6"/>
  <c r="F30" i="6"/>
  <c r="F29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3" i="6"/>
  <c r="F12" i="6"/>
  <c r="F11" i="6"/>
  <c r="F10" i="6"/>
  <c r="Q9" i="6"/>
  <c r="R9" i="6" s="1"/>
  <c r="F9" i="6"/>
  <c r="Q8" i="6"/>
  <c r="R8" i="6" s="1"/>
  <c r="F8" i="6"/>
  <c r="Q7" i="6"/>
  <c r="R7" i="6" s="1"/>
  <c r="F7" i="6"/>
  <c r="Q6" i="6"/>
  <c r="R6" i="6" s="1"/>
  <c r="F6" i="6"/>
  <c r="F5" i="6"/>
  <c r="F4" i="6"/>
  <c r="F26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8" i="5"/>
  <c r="F47" i="5"/>
  <c r="F46" i="5"/>
  <c r="F45" i="5"/>
  <c r="F44" i="5"/>
  <c r="F43" i="5"/>
  <c r="F42" i="5"/>
  <c r="F41" i="5"/>
  <c r="F40" i="5"/>
  <c r="F39" i="5"/>
  <c r="F38" i="5"/>
  <c r="F37" i="5"/>
  <c r="F35" i="5"/>
  <c r="F34" i="5"/>
  <c r="F33" i="5"/>
  <c r="F32" i="5"/>
  <c r="F31" i="5"/>
  <c r="F30" i="5"/>
  <c r="F29" i="5"/>
  <c r="F28" i="5"/>
  <c r="F27" i="5"/>
  <c r="F25" i="5"/>
  <c r="F24" i="5"/>
  <c r="F23" i="5"/>
  <c r="F22" i="5"/>
  <c r="F20" i="5"/>
  <c r="F19" i="5"/>
  <c r="F18" i="5"/>
  <c r="F17" i="5"/>
  <c r="F16" i="5"/>
  <c r="F15" i="5"/>
  <c r="F14" i="5"/>
  <c r="F13" i="5"/>
  <c r="F12" i="5"/>
  <c r="F11" i="5"/>
  <c r="F10" i="5"/>
  <c r="Q9" i="5"/>
  <c r="R9" i="5" s="1"/>
  <c r="F9" i="5"/>
  <c r="Q8" i="5"/>
  <c r="R8" i="5" s="1"/>
  <c r="F8" i="5"/>
  <c r="Q7" i="5"/>
  <c r="R7" i="5" s="1"/>
  <c r="F7" i="5"/>
  <c r="Q6" i="5"/>
  <c r="R6" i="5" s="1"/>
  <c r="F6" i="5"/>
  <c r="F5" i="5"/>
  <c r="F4" i="5"/>
  <c r="F77" i="2"/>
  <c r="F71" i="2"/>
  <c r="Q12" i="3"/>
  <c r="R12" i="3" s="1"/>
  <c r="Q11" i="3"/>
  <c r="Q10" i="3"/>
  <c r="Q9" i="3"/>
  <c r="Q8" i="3"/>
  <c r="R8" i="3" s="1"/>
  <c r="R7" i="3"/>
  <c r="Q7" i="3"/>
  <c r="Q6" i="3"/>
  <c r="R6" i="3" s="1"/>
  <c r="F24" i="2"/>
  <c r="F20" i="2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2" i="3"/>
  <c r="F21" i="3"/>
  <c r="F20" i="3"/>
  <c r="F19" i="3"/>
  <c r="F18" i="3"/>
  <c r="F17" i="3"/>
  <c r="F16" i="3"/>
  <c r="F15" i="3"/>
  <c r="F14" i="3"/>
  <c r="F13" i="3"/>
  <c r="F12" i="3"/>
  <c r="R11" i="3"/>
  <c r="F11" i="3"/>
  <c r="R10" i="3"/>
  <c r="F10" i="3"/>
  <c r="R9" i="3"/>
  <c r="F9" i="3"/>
  <c r="F8" i="3"/>
  <c r="F7" i="3"/>
  <c r="F6" i="3"/>
  <c r="F5" i="3"/>
  <c r="F4" i="3"/>
  <c r="Q12" i="2"/>
  <c r="R12" i="2" s="1"/>
  <c r="Q11" i="2"/>
  <c r="R11" i="2" s="1"/>
  <c r="Q10" i="2"/>
  <c r="R10" i="2" s="1"/>
  <c r="Q9" i="2"/>
  <c r="R9" i="2" s="1"/>
  <c r="Q8" i="2"/>
  <c r="R8" i="2" s="1"/>
  <c r="Q7" i="2"/>
  <c r="R7" i="2" s="1"/>
  <c r="Q6" i="2"/>
  <c r="R6" i="2" s="1"/>
  <c r="R11" i="1"/>
  <c r="R12" i="1"/>
  <c r="R6" i="1"/>
  <c r="Q10" i="1"/>
  <c r="R10" i="1" s="1"/>
  <c r="Q9" i="1"/>
  <c r="R9" i="1" s="1"/>
  <c r="Q7" i="1"/>
  <c r="R7" i="1" s="1"/>
  <c r="Q6" i="1"/>
  <c r="Q14" i="1" s="1"/>
  <c r="D81" i="1"/>
  <c r="Q11" i="1"/>
  <c r="Q12" i="1"/>
  <c r="Q8" i="1"/>
  <c r="R8" i="1" s="1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J5" i="4" s="1"/>
  <c r="F9" i="4"/>
  <c r="F8" i="4"/>
  <c r="F7" i="4"/>
  <c r="F6" i="4"/>
  <c r="F5" i="4"/>
  <c r="F4" i="4"/>
  <c r="H5" i="4" s="1"/>
  <c r="F84" i="2"/>
  <c r="F85" i="2"/>
  <c r="F86" i="2"/>
  <c r="F87" i="2"/>
  <c r="F88" i="2"/>
  <c r="F73" i="2"/>
  <c r="F74" i="2"/>
  <c r="F61" i="2"/>
  <c r="F16" i="2"/>
  <c r="F17" i="2"/>
  <c r="F18" i="2"/>
  <c r="F19" i="2"/>
  <c r="F21" i="2"/>
  <c r="F22" i="2"/>
  <c r="F32" i="2"/>
  <c r="F33" i="2"/>
  <c r="F78" i="1"/>
  <c r="F79" i="1"/>
  <c r="F77" i="1"/>
  <c r="F83" i="2"/>
  <c r="F82" i="2"/>
  <c r="F80" i="2"/>
  <c r="F79" i="2"/>
  <c r="F78" i="2"/>
  <c r="F76" i="2"/>
  <c r="F75" i="2"/>
  <c r="F72" i="2"/>
  <c r="F70" i="2"/>
  <c r="F69" i="2"/>
  <c r="F68" i="2"/>
  <c r="F67" i="2"/>
  <c r="F66" i="2"/>
  <c r="F64" i="2"/>
  <c r="F63" i="2"/>
  <c r="F62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4" i="2"/>
  <c r="F43" i="2"/>
  <c r="F42" i="2"/>
  <c r="F41" i="2"/>
  <c r="F40" i="2"/>
  <c r="F39" i="2"/>
  <c r="F38" i="2"/>
  <c r="F37" i="2"/>
  <c r="F36" i="2"/>
  <c r="F35" i="2"/>
  <c r="F34" i="2"/>
  <c r="F31" i="2"/>
  <c r="F30" i="2"/>
  <c r="F29" i="2"/>
  <c r="F28" i="2"/>
  <c r="F27" i="2"/>
  <c r="F26" i="2"/>
  <c r="F23" i="2"/>
  <c r="H7" i="1"/>
  <c r="F67" i="1"/>
  <c r="F68" i="1"/>
  <c r="F69" i="1"/>
  <c r="F70" i="1"/>
  <c r="F71" i="1"/>
  <c r="F72" i="1"/>
  <c r="F73" i="1"/>
  <c r="F75" i="1"/>
  <c r="H76" i="1" s="1"/>
  <c r="F76" i="1"/>
  <c r="F49" i="1"/>
  <c r="F50" i="1"/>
  <c r="F51" i="1"/>
  <c r="F52" i="1"/>
  <c r="F53" i="1"/>
  <c r="F54" i="1"/>
  <c r="F55" i="1"/>
  <c r="F56" i="1"/>
  <c r="F58" i="1"/>
  <c r="F59" i="1"/>
  <c r="F60" i="1"/>
  <c r="H59" i="1" s="1"/>
  <c r="F61" i="1"/>
  <c r="F62" i="1"/>
  <c r="F63" i="1"/>
  <c r="F64" i="1"/>
  <c r="F65" i="1"/>
  <c r="F66" i="1"/>
  <c r="F31" i="1"/>
  <c r="F32" i="1"/>
  <c r="F33" i="1"/>
  <c r="F34" i="1"/>
  <c r="F35" i="1"/>
  <c r="F36" i="1"/>
  <c r="F37" i="1"/>
  <c r="F39" i="1"/>
  <c r="H40" i="1" s="1"/>
  <c r="F40" i="1"/>
  <c r="F41" i="1"/>
  <c r="F42" i="1"/>
  <c r="F43" i="1"/>
  <c r="F44" i="1"/>
  <c r="F45" i="1"/>
  <c r="F46" i="1"/>
  <c r="F47" i="1"/>
  <c r="F48" i="1"/>
  <c r="F20" i="1"/>
  <c r="F21" i="1"/>
  <c r="F22" i="1"/>
  <c r="F23" i="1"/>
  <c r="F24" i="1"/>
  <c r="H21" i="1" s="1"/>
  <c r="F25" i="1"/>
  <c r="F26" i="1"/>
  <c r="F27" i="1"/>
  <c r="F28" i="1"/>
  <c r="F29" i="1"/>
  <c r="F30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4" i="1"/>
  <c r="J7" i="1" s="1"/>
  <c r="H6" i="13" l="1"/>
  <c r="H50" i="13"/>
  <c r="H38" i="13"/>
  <c r="H62" i="13"/>
  <c r="H25" i="13"/>
  <c r="H32" i="12"/>
  <c r="H20" i="12"/>
  <c r="J6" i="12"/>
  <c r="H6" i="12"/>
  <c r="H43" i="11"/>
  <c r="H55" i="11"/>
  <c r="H32" i="11"/>
  <c r="H20" i="11"/>
  <c r="J6" i="11"/>
  <c r="H6" i="11"/>
  <c r="H41" i="10"/>
  <c r="H53" i="10"/>
  <c r="H30" i="10"/>
  <c r="H18" i="10"/>
  <c r="J6" i="10"/>
  <c r="H6" i="10"/>
  <c r="H53" i="9"/>
  <c r="H29" i="9"/>
  <c r="H41" i="9"/>
  <c r="H18" i="9"/>
  <c r="H6" i="9"/>
  <c r="H18" i="7"/>
  <c r="H30" i="7"/>
  <c r="H7" i="7"/>
  <c r="H5" i="3"/>
  <c r="H65" i="3"/>
  <c r="H90" i="3"/>
  <c r="J5" i="3"/>
  <c r="H45" i="3"/>
  <c r="H25" i="3"/>
  <c r="H54" i="7"/>
  <c r="H42" i="7"/>
  <c r="J7" i="7"/>
  <c r="H16" i="6"/>
  <c r="H30" i="6"/>
  <c r="H39" i="6"/>
  <c r="H53" i="6"/>
  <c r="H5" i="6"/>
  <c r="J5" i="6"/>
  <c r="J5" i="5"/>
  <c r="H5" i="5"/>
  <c r="H38" i="5"/>
  <c r="H23" i="5"/>
  <c r="H51" i="5"/>
  <c r="H65" i="5"/>
  <c r="H67" i="2"/>
  <c r="H5" i="2"/>
  <c r="H47" i="2"/>
  <c r="J5" i="2"/>
  <c r="H83" i="2"/>
  <c r="H65" i="4"/>
  <c r="H45" i="4"/>
  <c r="H25" i="4"/>
  <c r="H27" i="2"/>
</calcChain>
</file>

<file path=xl/sharedStrings.xml><?xml version="1.0" encoding="utf-8"?>
<sst xmlns="http://schemas.openxmlformats.org/spreadsheetml/2006/main" count="1521" uniqueCount="63">
  <si>
    <t xml:space="preserve">Date </t>
  </si>
  <si>
    <t>Order Channel</t>
  </si>
  <si>
    <t>Net Sales</t>
  </si>
  <si>
    <t>Supalai</t>
  </si>
  <si>
    <t>Shop</t>
  </si>
  <si>
    <t>Balloon</t>
  </si>
  <si>
    <t>Army</t>
  </si>
  <si>
    <t>Mon</t>
  </si>
  <si>
    <t>Tues</t>
  </si>
  <si>
    <t>Wed</t>
  </si>
  <si>
    <t>Thur</t>
  </si>
  <si>
    <t>Fri</t>
  </si>
  <si>
    <t>Sat</t>
  </si>
  <si>
    <t>Sun</t>
  </si>
  <si>
    <t>Acc Ttl</t>
  </si>
  <si>
    <t>Box</t>
  </si>
  <si>
    <t>River</t>
  </si>
  <si>
    <t>1. Wkly Ttl</t>
  </si>
  <si>
    <t>2. Wkly Ttl</t>
  </si>
  <si>
    <t>3.Wkly Ttl</t>
  </si>
  <si>
    <t>shop</t>
  </si>
  <si>
    <t>Thurs</t>
  </si>
  <si>
    <t>Lamp</t>
  </si>
  <si>
    <t>4.Wkly Ttl</t>
  </si>
  <si>
    <t>5.Wkly Ttl</t>
  </si>
  <si>
    <t>Grab</t>
  </si>
  <si>
    <t>Total Sales</t>
  </si>
  <si>
    <t>Cny</t>
  </si>
  <si>
    <t>Days</t>
  </si>
  <si>
    <t>Ttl Rev</t>
  </si>
  <si>
    <t>Av per Day</t>
  </si>
  <si>
    <t>CNR</t>
  </si>
  <si>
    <t>CNY</t>
  </si>
  <si>
    <t xml:space="preserve">Valentine </t>
  </si>
  <si>
    <t>WK 8</t>
  </si>
  <si>
    <t>Central</t>
  </si>
  <si>
    <t>WK 9</t>
  </si>
  <si>
    <t>WK 10</t>
  </si>
  <si>
    <t>WK 11</t>
  </si>
  <si>
    <t>WK 12</t>
  </si>
  <si>
    <t>WK 13</t>
  </si>
  <si>
    <t>WK 14</t>
  </si>
  <si>
    <t>WK 15</t>
  </si>
  <si>
    <t>WK 16</t>
  </si>
  <si>
    <t>WK 17</t>
  </si>
  <si>
    <t>River 35</t>
  </si>
  <si>
    <t>River 110</t>
  </si>
  <si>
    <t xml:space="preserve">Central </t>
  </si>
  <si>
    <t>Date</t>
  </si>
  <si>
    <t>WK 25</t>
  </si>
  <si>
    <t>WK 24</t>
  </si>
  <si>
    <t>WK 23</t>
  </si>
  <si>
    <t>WK 22</t>
  </si>
  <si>
    <t>WK 21</t>
  </si>
  <si>
    <t xml:space="preserve">University </t>
  </si>
  <si>
    <t>CP All</t>
  </si>
  <si>
    <t>Krokpra</t>
  </si>
  <si>
    <t>Rongsri</t>
  </si>
  <si>
    <t>Cpall</t>
  </si>
  <si>
    <t>Unversity</t>
  </si>
  <si>
    <t>Temple</t>
  </si>
  <si>
    <t>Leycatong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</si>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</sst>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 (Body)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4" fontId="1" fillId="0" borderId="0" xfId="0" applyNumberFormat="1" applyFont="1"/>
    <xf numFmtId="14" fontId="1" fillId="0" borderId="0" xfId="0" applyNumberFormat="1" applyFont="1"/>
    <xf numFmtId="0" fontId="3" fillId="0" borderId="0" xfId="0" applyFont="1"/>
    <xf numFmtId="4" fontId="2" fillId="3" borderId="0" xfId="0" applyNumberFormat="1" applyFont="1" applyFill="1"/>
    <xf numFmtId="4" fontId="1" fillId="5" borderId="0" xfId="0" applyNumberFormat="1" applyFont="1" applyFill="1"/>
    <xf numFmtId="0" fontId="2" fillId="0" borderId="0" xfId="0" applyFont="1"/>
    <xf numFmtId="4" fontId="2" fillId="2" borderId="0" xfId="0" applyNumberFormat="1" applyFont="1" applyFill="1"/>
    <xf numFmtId="4" fontId="2" fillId="4" borderId="0" xfId="0" applyNumberFormat="1" applyFont="1" applyFill="1"/>
    <xf numFmtId="4" fontId="0" fillId="0" borderId="0" xfId="0" applyNumberFormat="1"/>
    <xf numFmtId="40" fontId="1" fillId="0" borderId="0" xfId="0" applyNumberFormat="1" applyFont="1"/>
    <xf numFmtId="4" fontId="3" fillId="0" borderId="0" xfId="0" applyNumberFormat="1" applyFont="1"/>
    <xf numFmtId="4" fontId="2" fillId="0" borderId="0" xfId="0" applyNumberFormat="1" applyFont="1"/>
    <xf numFmtId="4" fontId="3" fillId="6" borderId="0" xfId="0" applyNumberFormat="1" applyFont="1" applyFill="1"/>
    <xf numFmtId="0" fontId="0" fillId="7" borderId="0" xfId="0" applyFill="1"/>
    <xf numFmtId="0" fontId="4" fillId="0" borderId="0" xfId="0" applyFont="1"/>
    <xf numFmtId="2" fontId="1" fillId="0" borderId="0" xfId="0" applyNumberFormat="1" applyFont="1"/>
    <xf numFmtId="16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35B83-B48F-A44F-A58B-D58A15C459F2}">
  <dimension ref="A3:J105"/>
  <sheetViews>
    <sheetView workbookViewId="0">
      <selection activeCell="H69" sqref="H69"/>
    </sheetView>
  </sheetViews>
  <sheetFormatPr baseColWidth="10" defaultRowHeight="19" x14ac:dyDescent="0.25"/>
  <cols>
    <col min="2" max="2" width="13.6640625" style="3" customWidth="1"/>
    <col min="3" max="3" width="19.83203125" style="1" customWidth="1"/>
    <col min="4" max="4" width="10.83203125" style="2"/>
    <col min="5" max="6" width="10.83203125" style="1"/>
    <col min="10" max="10" width="13.6640625" customWidth="1"/>
  </cols>
  <sheetData>
    <row r="3" spans="1:10" x14ac:dyDescent="0.25">
      <c r="B3" s="3" t="s">
        <v>0</v>
      </c>
      <c r="C3" s="1" t="s">
        <v>1</v>
      </c>
      <c r="D3" s="2" t="s">
        <v>2</v>
      </c>
      <c r="E3" s="1" t="s">
        <v>25</v>
      </c>
      <c r="F3" s="1" t="s">
        <v>26</v>
      </c>
    </row>
    <row r="4" spans="1:10" x14ac:dyDescent="0.25">
      <c r="A4" t="s">
        <v>7</v>
      </c>
      <c r="B4" s="3">
        <v>45656</v>
      </c>
      <c r="C4" s="1" t="s">
        <v>3</v>
      </c>
      <c r="D4" s="2">
        <v>1060</v>
      </c>
      <c r="F4" s="6">
        <f t="shared" ref="F4:F81" si="0">D4+E4</f>
        <v>1060</v>
      </c>
      <c r="H4" s="7" t="s">
        <v>17</v>
      </c>
      <c r="J4" s="7" t="s">
        <v>14</v>
      </c>
    </row>
    <row r="5" spans="1:10" x14ac:dyDescent="0.25">
      <c r="B5" s="3">
        <v>45656</v>
      </c>
      <c r="C5" s="1" t="s">
        <v>4</v>
      </c>
      <c r="D5" s="2">
        <v>1200</v>
      </c>
      <c r="F5" s="6">
        <f t="shared" si="0"/>
        <v>1200</v>
      </c>
      <c r="H5" s="8">
        <f>SUM(F4:F22)</f>
        <v>55239</v>
      </c>
      <c r="J5" s="5">
        <f>SUM(F9:F99)</f>
        <v>221073</v>
      </c>
    </row>
    <row r="6" spans="1:10" x14ac:dyDescent="0.25">
      <c r="B6" s="3">
        <v>45656</v>
      </c>
      <c r="C6" s="1" t="s">
        <v>22</v>
      </c>
      <c r="D6" s="2">
        <v>7257</v>
      </c>
      <c r="F6" s="6">
        <f t="shared" si="0"/>
        <v>7257</v>
      </c>
    </row>
    <row r="7" spans="1:10" x14ac:dyDescent="0.25">
      <c r="A7" t="s">
        <v>8</v>
      </c>
      <c r="B7" s="3">
        <v>45657</v>
      </c>
      <c r="C7" s="1" t="s">
        <v>4</v>
      </c>
      <c r="D7" s="2">
        <v>1560</v>
      </c>
      <c r="F7" s="6">
        <f t="shared" si="0"/>
        <v>1560</v>
      </c>
    </row>
    <row r="8" spans="1:10" x14ac:dyDescent="0.25">
      <c r="B8" s="3">
        <v>45657</v>
      </c>
      <c r="C8" s="1" t="s">
        <v>22</v>
      </c>
      <c r="D8" s="2">
        <v>7589</v>
      </c>
      <c r="F8" s="6">
        <f t="shared" si="0"/>
        <v>7589</v>
      </c>
    </row>
    <row r="9" spans="1:10" x14ac:dyDescent="0.25">
      <c r="A9" t="s">
        <v>9</v>
      </c>
      <c r="B9" s="3">
        <v>45658</v>
      </c>
      <c r="C9" s="1" t="s">
        <v>4</v>
      </c>
      <c r="D9" s="2">
        <v>1760</v>
      </c>
      <c r="F9" s="6">
        <f t="shared" si="0"/>
        <v>1760</v>
      </c>
    </row>
    <row r="10" spans="1:10" x14ac:dyDescent="0.25">
      <c r="B10" s="3">
        <v>45658</v>
      </c>
      <c r="C10" s="1" t="s">
        <v>22</v>
      </c>
      <c r="D10" s="2">
        <v>6813</v>
      </c>
      <c r="F10" s="6">
        <f t="shared" si="0"/>
        <v>6813</v>
      </c>
    </row>
    <row r="11" spans="1:10" x14ac:dyDescent="0.25">
      <c r="A11" t="s">
        <v>21</v>
      </c>
      <c r="B11" s="3">
        <v>45659</v>
      </c>
      <c r="C11" s="1" t="s">
        <v>4</v>
      </c>
      <c r="D11" s="2">
        <v>2500</v>
      </c>
      <c r="F11" s="6">
        <f t="shared" si="0"/>
        <v>2500</v>
      </c>
    </row>
    <row r="12" spans="1:10" x14ac:dyDescent="0.25">
      <c r="B12" s="3">
        <v>45659</v>
      </c>
      <c r="C12" s="1" t="s">
        <v>15</v>
      </c>
      <c r="D12" s="2">
        <v>1500</v>
      </c>
      <c r="F12" s="6">
        <f t="shared" si="0"/>
        <v>1500</v>
      </c>
    </row>
    <row r="13" spans="1:10" x14ac:dyDescent="0.25">
      <c r="A13" t="s">
        <v>11</v>
      </c>
      <c r="B13" s="3">
        <v>45660</v>
      </c>
      <c r="C13" s="1" t="s">
        <v>4</v>
      </c>
      <c r="D13" s="2">
        <v>2500</v>
      </c>
      <c r="F13" s="6">
        <f t="shared" si="0"/>
        <v>2500</v>
      </c>
    </row>
    <row r="14" spans="1:10" x14ac:dyDescent="0.25">
      <c r="B14" s="3">
        <v>45660</v>
      </c>
      <c r="C14" s="1" t="s">
        <v>16</v>
      </c>
      <c r="D14" s="2">
        <v>3000</v>
      </c>
      <c r="F14" s="6">
        <f t="shared" si="0"/>
        <v>3000</v>
      </c>
    </row>
    <row r="15" spans="1:10" x14ac:dyDescent="0.25">
      <c r="B15" s="3">
        <v>45660</v>
      </c>
      <c r="C15" s="1" t="s">
        <v>15</v>
      </c>
      <c r="D15" s="2">
        <v>1500</v>
      </c>
      <c r="F15" s="6">
        <f t="shared" si="0"/>
        <v>1500</v>
      </c>
    </row>
    <row r="16" spans="1:10" x14ac:dyDescent="0.25">
      <c r="A16" t="s">
        <v>12</v>
      </c>
      <c r="B16" s="3">
        <v>45661</v>
      </c>
      <c r="C16" s="1" t="s">
        <v>6</v>
      </c>
      <c r="D16" s="2">
        <v>3000</v>
      </c>
      <c r="F16" s="6">
        <f t="shared" si="0"/>
        <v>3000</v>
      </c>
    </row>
    <row r="17" spans="1:8" x14ac:dyDescent="0.25">
      <c r="B17" s="3">
        <v>45661</v>
      </c>
      <c r="C17" s="1" t="s">
        <v>16</v>
      </c>
      <c r="D17" s="2">
        <v>3000</v>
      </c>
      <c r="F17" s="6">
        <f t="shared" si="0"/>
        <v>3000</v>
      </c>
    </row>
    <row r="18" spans="1:8" x14ac:dyDescent="0.25">
      <c r="B18" s="3">
        <v>45661</v>
      </c>
      <c r="C18" s="1" t="s">
        <v>4</v>
      </c>
      <c r="D18" s="2">
        <v>2500</v>
      </c>
      <c r="F18" s="6">
        <f t="shared" si="0"/>
        <v>2500</v>
      </c>
    </row>
    <row r="19" spans="1:8" x14ac:dyDescent="0.25">
      <c r="B19" s="3">
        <v>45661</v>
      </c>
      <c r="C19" s="1" t="s">
        <v>15</v>
      </c>
      <c r="D19" s="2">
        <v>1500</v>
      </c>
      <c r="F19" s="6">
        <f t="shared" si="0"/>
        <v>1500</v>
      </c>
    </row>
    <row r="20" spans="1:8" x14ac:dyDescent="0.25">
      <c r="A20" t="s">
        <v>13</v>
      </c>
      <c r="B20" s="3">
        <v>45662</v>
      </c>
      <c r="C20" s="1" t="s">
        <v>6</v>
      </c>
      <c r="D20" s="2">
        <v>3000</v>
      </c>
      <c r="F20" s="6">
        <f t="shared" si="0"/>
        <v>3000</v>
      </c>
    </row>
    <row r="21" spans="1:8" x14ac:dyDescent="0.25">
      <c r="B21" s="3">
        <v>45662</v>
      </c>
      <c r="C21" s="1" t="s">
        <v>4</v>
      </c>
      <c r="D21" s="2">
        <v>2500</v>
      </c>
      <c r="F21" s="6">
        <f t="shared" si="0"/>
        <v>2500</v>
      </c>
    </row>
    <row r="22" spans="1:8" x14ac:dyDescent="0.25">
      <c r="B22" s="3">
        <v>45662</v>
      </c>
      <c r="C22" s="1" t="s">
        <v>15</v>
      </c>
      <c r="D22" s="2">
        <v>1500</v>
      </c>
      <c r="F22" s="6">
        <f t="shared" si="0"/>
        <v>1500</v>
      </c>
    </row>
    <row r="23" spans="1:8" x14ac:dyDescent="0.25">
      <c r="F23" s="6"/>
    </row>
    <row r="24" spans="1:8" x14ac:dyDescent="0.25">
      <c r="A24" t="s">
        <v>7</v>
      </c>
      <c r="B24" s="3">
        <v>45663</v>
      </c>
      <c r="C24" s="1" t="s">
        <v>3</v>
      </c>
      <c r="D24" s="2">
        <v>2500</v>
      </c>
      <c r="F24" s="6">
        <f t="shared" si="0"/>
        <v>2500</v>
      </c>
      <c r="H24" s="7" t="s">
        <v>18</v>
      </c>
    </row>
    <row r="25" spans="1:8" x14ac:dyDescent="0.25">
      <c r="B25" s="3">
        <v>45663</v>
      </c>
      <c r="C25" s="1" t="s">
        <v>4</v>
      </c>
      <c r="D25" s="2">
        <v>2500</v>
      </c>
      <c r="F25" s="6">
        <f t="shared" si="0"/>
        <v>2500</v>
      </c>
      <c r="H25" s="8">
        <f>SUM(F24:F42)</f>
        <v>42500</v>
      </c>
    </row>
    <row r="26" spans="1:8" x14ac:dyDescent="0.25">
      <c r="B26" s="3">
        <v>45663</v>
      </c>
      <c r="C26" s="1" t="s">
        <v>15</v>
      </c>
      <c r="D26" s="2">
        <v>1500</v>
      </c>
      <c r="F26" s="6">
        <f t="shared" si="0"/>
        <v>1500</v>
      </c>
    </row>
    <row r="27" spans="1:8" x14ac:dyDescent="0.25">
      <c r="A27" t="s">
        <v>8</v>
      </c>
      <c r="B27" s="3">
        <v>45664</v>
      </c>
      <c r="C27" s="1" t="s">
        <v>4</v>
      </c>
      <c r="D27" s="2">
        <v>2500</v>
      </c>
      <c r="F27" s="6">
        <f t="shared" si="0"/>
        <v>2500</v>
      </c>
    </row>
    <row r="28" spans="1:8" x14ac:dyDescent="0.25">
      <c r="B28" s="3">
        <v>45664</v>
      </c>
      <c r="C28" s="1" t="s">
        <v>15</v>
      </c>
      <c r="D28" s="2">
        <v>1500</v>
      </c>
      <c r="F28" s="6">
        <f t="shared" si="0"/>
        <v>1500</v>
      </c>
    </row>
    <row r="29" spans="1:8" x14ac:dyDescent="0.25">
      <c r="A29" t="s">
        <v>9</v>
      </c>
      <c r="B29" s="3">
        <v>45665</v>
      </c>
      <c r="C29" s="1" t="s">
        <v>4</v>
      </c>
      <c r="D29" s="2">
        <v>2500</v>
      </c>
      <c r="F29" s="6">
        <f t="shared" si="0"/>
        <v>2500</v>
      </c>
    </row>
    <row r="30" spans="1:8" x14ac:dyDescent="0.25">
      <c r="B30" s="3">
        <v>45665</v>
      </c>
      <c r="C30" s="1" t="s">
        <v>15</v>
      </c>
      <c r="D30" s="2">
        <v>1500</v>
      </c>
      <c r="F30" s="6">
        <f>D30+E30</f>
        <v>1500</v>
      </c>
    </row>
    <row r="31" spans="1:8" x14ac:dyDescent="0.25">
      <c r="A31" t="s">
        <v>21</v>
      </c>
      <c r="B31" s="3">
        <v>45666</v>
      </c>
      <c r="C31" s="1" t="s">
        <v>4</v>
      </c>
      <c r="D31" s="2">
        <v>2500</v>
      </c>
      <c r="F31" s="6">
        <f t="shared" si="0"/>
        <v>2500</v>
      </c>
    </row>
    <row r="32" spans="1:8" x14ac:dyDescent="0.25">
      <c r="B32" s="3">
        <v>45666</v>
      </c>
      <c r="C32" s="1" t="s">
        <v>15</v>
      </c>
      <c r="D32" s="2">
        <v>1500</v>
      </c>
      <c r="F32" s="6">
        <f t="shared" si="0"/>
        <v>1500</v>
      </c>
    </row>
    <row r="33" spans="1:8" x14ac:dyDescent="0.25">
      <c r="A33" t="s">
        <v>11</v>
      </c>
      <c r="B33" s="3">
        <v>45667</v>
      </c>
      <c r="C33" s="1" t="s">
        <v>4</v>
      </c>
      <c r="D33" s="2">
        <v>2500</v>
      </c>
      <c r="F33" s="6">
        <f t="shared" si="0"/>
        <v>2500</v>
      </c>
    </row>
    <row r="34" spans="1:8" x14ac:dyDescent="0.25">
      <c r="B34" s="3">
        <v>45667</v>
      </c>
      <c r="C34" s="1" t="s">
        <v>16</v>
      </c>
      <c r="D34" s="2">
        <v>3000</v>
      </c>
      <c r="F34" s="6">
        <f t="shared" si="0"/>
        <v>3000</v>
      </c>
    </row>
    <row r="35" spans="1:8" x14ac:dyDescent="0.25">
      <c r="B35" s="3">
        <v>45667</v>
      </c>
      <c r="C35" s="1" t="s">
        <v>15</v>
      </c>
      <c r="D35" s="2">
        <v>1500</v>
      </c>
      <c r="F35" s="6">
        <f t="shared" si="0"/>
        <v>1500</v>
      </c>
    </row>
    <row r="36" spans="1:8" x14ac:dyDescent="0.25">
      <c r="A36" t="s">
        <v>12</v>
      </c>
      <c r="B36" s="3">
        <v>45668</v>
      </c>
      <c r="C36" s="1" t="s">
        <v>6</v>
      </c>
      <c r="D36" s="2">
        <v>3000</v>
      </c>
      <c r="F36" s="6">
        <f t="shared" si="0"/>
        <v>3000</v>
      </c>
    </row>
    <row r="37" spans="1:8" x14ac:dyDescent="0.25">
      <c r="B37" s="3">
        <v>45668</v>
      </c>
      <c r="C37" s="1" t="s">
        <v>4</v>
      </c>
      <c r="D37" s="2">
        <v>2500</v>
      </c>
      <c r="F37" s="6">
        <f t="shared" si="0"/>
        <v>2500</v>
      </c>
    </row>
    <row r="38" spans="1:8" x14ac:dyDescent="0.25">
      <c r="B38" s="3">
        <v>45668</v>
      </c>
      <c r="C38" s="1" t="s">
        <v>16</v>
      </c>
      <c r="D38" s="2">
        <v>3000</v>
      </c>
      <c r="F38" s="6">
        <f t="shared" si="0"/>
        <v>3000</v>
      </c>
    </row>
    <row r="39" spans="1:8" x14ac:dyDescent="0.25">
      <c r="B39" s="3">
        <v>45668</v>
      </c>
      <c r="C39" s="1" t="s">
        <v>15</v>
      </c>
      <c r="D39" s="2">
        <v>1500</v>
      </c>
      <c r="F39" s="6">
        <f t="shared" si="0"/>
        <v>1500</v>
      </c>
    </row>
    <row r="40" spans="1:8" x14ac:dyDescent="0.25">
      <c r="A40" t="s">
        <v>13</v>
      </c>
      <c r="B40" s="3">
        <v>45669</v>
      </c>
      <c r="C40" s="1" t="s">
        <v>6</v>
      </c>
      <c r="D40" s="2">
        <v>3000</v>
      </c>
      <c r="F40" s="6">
        <f t="shared" si="0"/>
        <v>3000</v>
      </c>
    </row>
    <row r="41" spans="1:8" x14ac:dyDescent="0.25">
      <c r="B41" s="3">
        <v>45669</v>
      </c>
      <c r="C41" s="1" t="s">
        <v>4</v>
      </c>
      <c r="D41" s="2">
        <v>2500</v>
      </c>
      <c r="F41" s="6">
        <f t="shared" si="0"/>
        <v>2500</v>
      </c>
    </row>
    <row r="42" spans="1:8" x14ac:dyDescent="0.25">
      <c r="B42" s="3">
        <v>45669</v>
      </c>
      <c r="C42" s="1" t="s">
        <v>15</v>
      </c>
      <c r="D42" s="2">
        <v>1500</v>
      </c>
      <c r="F42" s="6">
        <f t="shared" si="0"/>
        <v>1500</v>
      </c>
    </row>
    <row r="43" spans="1:8" x14ac:dyDescent="0.25">
      <c r="F43" s="6"/>
    </row>
    <row r="44" spans="1:8" x14ac:dyDescent="0.25">
      <c r="A44" t="s">
        <v>7</v>
      </c>
      <c r="B44" s="3">
        <v>45670</v>
      </c>
      <c r="C44" s="1" t="s">
        <v>3</v>
      </c>
      <c r="D44" s="2">
        <v>2500</v>
      </c>
      <c r="F44" s="6">
        <f t="shared" si="0"/>
        <v>2500</v>
      </c>
      <c r="H44" s="7" t="s">
        <v>19</v>
      </c>
    </row>
    <row r="45" spans="1:8" x14ac:dyDescent="0.25">
      <c r="B45" s="3">
        <v>45670</v>
      </c>
      <c r="C45" s="1" t="s">
        <v>4</v>
      </c>
      <c r="D45" s="2">
        <v>2500</v>
      </c>
      <c r="F45" s="6">
        <f t="shared" si="0"/>
        <v>2500</v>
      </c>
      <c r="H45" s="9">
        <f>SUM(F44:F62)</f>
        <v>42500</v>
      </c>
    </row>
    <row r="46" spans="1:8" x14ac:dyDescent="0.25">
      <c r="B46" s="3">
        <v>45670</v>
      </c>
      <c r="C46" s="1" t="s">
        <v>15</v>
      </c>
      <c r="D46" s="2">
        <v>1500</v>
      </c>
      <c r="F46" s="6">
        <f t="shared" si="0"/>
        <v>1500</v>
      </c>
    </row>
    <row r="47" spans="1:8" x14ac:dyDescent="0.25">
      <c r="A47" t="s">
        <v>8</v>
      </c>
      <c r="B47" s="3">
        <v>45671</v>
      </c>
      <c r="C47" s="1" t="s">
        <v>4</v>
      </c>
      <c r="D47" s="2">
        <v>2500</v>
      </c>
      <c r="F47" s="6">
        <f t="shared" si="0"/>
        <v>2500</v>
      </c>
    </row>
    <row r="48" spans="1:8" x14ac:dyDescent="0.25">
      <c r="B48" s="3">
        <v>45671</v>
      </c>
      <c r="C48" s="1" t="s">
        <v>15</v>
      </c>
      <c r="D48" s="2">
        <v>1500</v>
      </c>
      <c r="F48" s="6">
        <f t="shared" si="0"/>
        <v>1500</v>
      </c>
    </row>
    <row r="49" spans="1:8" x14ac:dyDescent="0.25">
      <c r="A49" t="s">
        <v>9</v>
      </c>
      <c r="B49" s="3">
        <v>45672</v>
      </c>
      <c r="C49" s="1" t="s">
        <v>20</v>
      </c>
      <c r="D49" s="2">
        <v>2500</v>
      </c>
      <c r="F49" s="6">
        <f t="shared" si="0"/>
        <v>2500</v>
      </c>
    </row>
    <row r="50" spans="1:8" x14ac:dyDescent="0.25">
      <c r="B50" s="3">
        <v>45672</v>
      </c>
      <c r="C50" s="1" t="s">
        <v>15</v>
      </c>
      <c r="D50" s="2">
        <v>1500</v>
      </c>
      <c r="F50" s="6">
        <f t="shared" si="0"/>
        <v>1500</v>
      </c>
    </row>
    <row r="51" spans="1:8" x14ac:dyDescent="0.25">
      <c r="A51" t="s">
        <v>21</v>
      </c>
      <c r="B51" s="3">
        <v>45673</v>
      </c>
      <c r="C51" s="1" t="s">
        <v>4</v>
      </c>
      <c r="D51" s="2">
        <v>2500</v>
      </c>
      <c r="F51" s="6">
        <f t="shared" si="0"/>
        <v>2500</v>
      </c>
    </row>
    <row r="52" spans="1:8" x14ac:dyDescent="0.25">
      <c r="B52" s="3">
        <v>45673</v>
      </c>
      <c r="C52" s="1" t="s">
        <v>15</v>
      </c>
      <c r="D52" s="2">
        <v>1500</v>
      </c>
      <c r="F52" s="6">
        <f t="shared" si="0"/>
        <v>1500</v>
      </c>
    </row>
    <row r="53" spans="1:8" x14ac:dyDescent="0.25">
      <c r="A53" t="s">
        <v>11</v>
      </c>
      <c r="B53" s="3">
        <v>45674</v>
      </c>
      <c r="C53" s="1" t="s">
        <v>4</v>
      </c>
      <c r="D53" s="2">
        <v>2500</v>
      </c>
      <c r="F53" s="6">
        <f t="shared" si="0"/>
        <v>2500</v>
      </c>
    </row>
    <row r="54" spans="1:8" x14ac:dyDescent="0.25">
      <c r="B54" s="3">
        <v>45674</v>
      </c>
      <c r="C54" s="1" t="s">
        <v>15</v>
      </c>
      <c r="D54" s="2">
        <v>1500</v>
      </c>
      <c r="F54" s="6">
        <f t="shared" si="0"/>
        <v>1500</v>
      </c>
    </row>
    <row r="55" spans="1:8" x14ac:dyDescent="0.25">
      <c r="B55" s="3">
        <v>45674</v>
      </c>
      <c r="C55" s="1" t="s">
        <v>16</v>
      </c>
      <c r="D55" s="2">
        <v>3000</v>
      </c>
      <c r="F55" s="6">
        <f t="shared" si="0"/>
        <v>3000</v>
      </c>
    </row>
    <row r="56" spans="1:8" x14ac:dyDescent="0.25">
      <c r="A56" t="s">
        <v>12</v>
      </c>
      <c r="B56" s="3">
        <v>45675</v>
      </c>
      <c r="C56" s="1" t="s">
        <v>6</v>
      </c>
      <c r="D56" s="2">
        <v>3000</v>
      </c>
      <c r="F56" s="6">
        <f t="shared" si="0"/>
        <v>3000</v>
      </c>
    </row>
    <row r="57" spans="1:8" x14ac:dyDescent="0.25">
      <c r="B57" s="3">
        <v>45675</v>
      </c>
      <c r="C57" s="1" t="s">
        <v>4</v>
      </c>
      <c r="D57" s="2">
        <v>2500</v>
      </c>
      <c r="F57" s="6">
        <f t="shared" si="0"/>
        <v>2500</v>
      </c>
    </row>
    <row r="58" spans="1:8" x14ac:dyDescent="0.25">
      <c r="B58" s="3">
        <v>45675</v>
      </c>
      <c r="C58" s="1" t="s">
        <v>15</v>
      </c>
      <c r="D58" s="2">
        <v>1500</v>
      </c>
      <c r="F58" s="6">
        <f t="shared" si="0"/>
        <v>1500</v>
      </c>
    </row>
    <row r="59" spans="1:8" x14ac:dyDescent="0.25">
      <c r="B59" s="3">
        <v>45675</v>
      </c>
      <c r="C59" s="1" t="s">
        <v>16</v>
      </c>
      <c r="D59" s="2">
        <v>3000</v>
      </c>
      <c r="F59" s="6">
        <f t="shared" si="0"/>
        <v>3000</v>
      </c>
    </row>
    <row r="60" spans="1:8" x14ac:dyDescent="0.25">
      <c r="A60" t="s">
        <v>13</v>
      </c>
      <c r="B60" s="3">
        <v>45676</v>
      </c>
      <c r="C60" s="1" t="s">
        <v>6</v>
      </c>
      <c r="D60" s="2">
        <v>3000</v>
      </c>
      <c r="F60" s="6">
        <f t="shared" si="0"/>
        <v>3000</v>
      </c>
    </row>
    <row r="61" spans="1:8" x14ac:dyDescent="0.25">
      <c r="B61" s="3">
        <v>45676</v>
      </c>
      <c r="C61" s="1" t="s">
        <v>4</v>
      </c>
      <c r="D61" s="2">
        <v>2500</v>
      </c>
      <c r="F61" s="6">
        <f t="shared" si="0"/>
        <v>2500</v>
      </c>
    </row>
    <row r="62" spans="1:8" x14ac:dyDescent="0.25">
      <c r="B62" s="3">
        <v>45676</v>
      </c>
      <c r="C62" s="1" t="s">
        <v>15</v>
      </c>
      <c r="D62" s="2">
        <v>1500</v>
      </c>
      <c r="F62" s="6">
        <f t="shared" si="0"/>
        <v>1500</v>
      </c>
    </row>
    <row r="63" spans="1:8" x14ac:dyDescent="0.25">
      <c r="F63" s="6"/>
    </row>
    <row r="64" spans="1:8" x14ac:dyDescent="0.25">
      <c r="A64" t="s">
        <v>7</v>
      </c>
      <c r="B64" s="3">
        <v>45677</v>
      </c>
      <c r="C64" s="1" t="s">
        <v>3</v>
      </c>
      <c r="D64" s="2">
        <v>2500</v>
      </c>
      <c r="F64" s="6">
        <f t="shared" si="0"/>
        <v>2500</v>
      </c>
      <c r="H64" s="7" t="s">
        <v>23</v>
      </c>
    </row>
    <row r="65" spans="1:8" x14ac:dyDescent="0.25">
      <c r="B65" s="3">
        <v>45677</v>
      </c>
      <c r="C65" s="1" t="s">
        <v>4</v>
      </c>
      <c r="D65" s="2">
        <v>2500</v>
      </c>
      <c r="F65" s="6">
        <f t="shared" si="0"/>
        <v>2500</v>
      </c>
      <c r="H65" s="8">
        <f>SUM(F64:F87)</f>
        <v>67500</v>
      </c>
    </row>
    <row r="66" spans="1:8" x14ac:dyDescent="0.25">
      <c r="B66" s="3">
        <v>45677</v>
      </c>
      <c r="C66" s="1" t="s">
        <v>15</v>
      </c>
      <c r="D66" s="2">
        <v>1500</v>
      </c>
      <c r="F66" s="6">
        <f t="shared" si="0"/>
        <v>1500</v>
      </c>
    </row>
    <row r="67" spans="1:8" x14ac:dyDescent="0.25">
      <c r="A67" t="s">
        <v>8</v>
      </c>
      <c r="B67" s="3">
        <v>45678</v>
      </c>
      <c r="C67" s="1" t="s">
        <v>4</v>
      </c>
      <c r="D67" s="2">
        <v>2500</v>
      </c>
      <c r="F67" s="6">
        <f t="shared" si="0"/>
        <v>2500</v>
      </c>
    </row>
    <row r="68" spans="1:8" x14ac:dyDescent="0.25">
      <c r="B68" s="3">
        <v>45678</v>
      </c>
      <c r="C68" s="1" t="s">
        <v>15</v>
      </c>
      <c r="D68" s="2">
        <v>1500</v>
      </c>
      <c r="F68" s="6">
        <f t="shared" si="0"/>
        <v>1500</v>
      </c>
    </row>
    <row r="69" spans="1:8" x14ac:dyDescent="0.25">
      <c r="A69" t="s">
        <v>9</v>
      </c>
      <c r="B69" s="3">
        <v>45679</v>
      </c>
      <c r="C69" s="1" t="s">
        <v>4</v>
      </c>
      <c r="D69" s="2">
        <v>2500</v>
      </c>
      <c r="F69" s="6">
        <f t="shared" si="0"/>
        <v>2500</v>
      </c>
    </row>
    <row r="70" spans="1:8" x14ac:dyDescent="0.25">
      <c r="B70" s="3">
        <v>45679</v>
      </c>
      <c r="C70" s="1" t="s">
        <v>15</v>
      </c>
      <c r="D70" s="2">
        <v>1500</v>
      </c>
      <c r="F70" s="6">
        <f t="shared" si="0"/>
        <v>1500</v>
      </c>
    </row>
    <row r="71" spans="1:8" x14ac:dyDescent="0.25">
      <c r="B71" s="3">
        <v>45679</v>
      </c>
      <c r="C71" s="1" t="s">
        <v>27</v>
      </c>
      <c r="D71" s="2">
        <v>5000</v>
      </c>
      <c r="F71" s="6">
        <f t="shared" si="0"/>
        <v>5000</v>
      </c>
    </row>
    <row r="72" spans="1:8" x14ac:dyDescent="0.25">
      <c r="A72" t="s">
        <v>21</v>
      </c>
      <c r="B72" s="3">
        <v>45680</v>
      </c>
      <c r="C72" s="1" t="s">
        <v>4</v>
      </c>
      <c r="D72" s="2">
        <v>2500</v>
      </c>
      <c r="F72" s="6">
        <f t="shared" si="0"/>
        <v>2500</v>
      </c>
    </row>
    <row r="73" spans="1:8" x14ac:dyDescent="0.25">
      <c r="B73" s="3">
        <v>45680</v>
      </c>
      <c r="C73" s="1" t="s">
        <v>15</v>
      </c>
      <c r="D73" s="2">
        <v>1500</v>
      </c>
      <c r="F73" s="6">
        <f t="shared" si="0"/>
        <v>1500</v>
      </c>
    </row>
    <row r="74" spans="1:8" x14ac:dyDescent="0.25">
      <c r="B74" s="3">
        <v>45680</v>
      </c>
      <c r="C74" s="1" t="s">
        <v>27</v>
      </c>
      <c r="D74" s="2">
        <v>5000</v>
      </c>
      <c r="F74" s="6">
        <f t="shared" si="0"/>
        <v>5000</v>
      </c>
    </row>
    <row r="75" spans="1:8" x14ac:dyDescent="0.25">
      <c r="A75" t="s">
        <v>11</v>
      </c>
      <c r="B75" s="3">
        <v>45681</v>
      </c>
      <c r="C75" s="1" t="s">
        <v>4</v>
      </c>
      <c r="D75" s="2">
        <v>2500</v>
      </c>
      <c r="F75" s="6">
        <f t="shared" si="0"/>
        <v>2500</v>
      </c>
    </row>
    <row r="76" spans="1:8" x14ac:dyDescent="0.25">
      <c r="B76" s="3">
        <v>45681</v>
      </c>
      <c r="C76" s="1" t="s">
        <v>15</v>
      </c>
      <c r="D76" s="2">
        <v>1500</v>
      </c>
      <c r="F76" s="6">
        <f t="shared" si="0"/>
        <v>1500</v>
      </c>
    </row>
    <row r="77" spans="1:8" x14ac:dyDescent="0.25">
      <c r="B77" s="3">
        <v>45681</v>
      </c>
      <c r="C77" s="1" t="s">
        <v>16</v>
      </c>
      <c r="D77" s="2">
        <v>3000</v>
      </c>
      <c r="F77" s="6">
        <f t="shared" si="0"/>
        <v>3000</v>
      </c>
    </row>
    <row r="78" spans="1:8" x14ac:dyDescent="0.25">
      <c r="B78" s="3">
        <v>45681</v>
      </c>
      <c r="C78" s="1" t="s">
        <v>27</v>
      </c>
      <c r="D78" s="2">
        <v>5000</v>
      </c>
      <c r="F78" s="6">
        <f t="shared" si="0"/>
        <v>5000</v>
      </c>
    </row>
    <row r="79" spans="1:8" x14ac:dyDescent="0.25">
      <c r="A79" t="s">
        <v>12</v>
      </c>
      <c r="B79" s="3">
        <v>45682</v>
      </c>
      <c r="C79" s="1" t="s">
        <v>6</v>
      </c>
      <c r="D79" s="2">
        <v>3000</v>
      </c>
      <c r="F79" s="6">
        <f t="shared" si="0"/>
        <v>3000</v>
      </c>
    </row>
    <row r="80" spans="1:8" x14ac:dyDescent="0.25">
      <c r="B80" s="3">
        <v>45682</v>
      </c>
      <c r="C80" s="1" t="s">
        <v>4</v>
      </c>
      <c r="D80" s="2">
        <v>2500</v>
      </c>
      <c r="F80" s="6">
        <f t="shared" si="0"/>
        <v>2500</v>
      </c>
    </row>
    <row r="81" spans="1:8" x14ac:dyDescent="0.25">
      <c r="B81" s="3">
        <v>45682</v>
      </c>
      <c r="C81" s="1" t="s">
        <v>15</v>
      </c>
      <c r="D81" s="2">
        <v>1500</v>
      </c>
      <c r="F81" s="6">
        <f t="shared" si="0"/>
        <v>1500</v>
      </c>
    </row>
    <row r="82" spans="1:8" x14ac:dyDescent="0.25">
      <c r="B82" s="3">
        <v>45682</v>
      </c>
      <c r="C82" s="1" t="s">
        <v>16</v>
      </c>
      <c r="D82" s="2">
        <v>3000</v>
      </c>
      <c r="F82" s="6">
        <f t="shared" ref="F82:F105" si="1">D82+E82</f>
        <v>3000</v>
      </c>
    </row>
    <row r="83" spans="1:8" x14ac:dyDescent="0.25">
      <c r="B83" s="3">
        <v>45682</v>
      </c>
      <c r="C83" s="1" t="s">
        <v>27</v>
      </c>
      <c r="D83" s="2">
        <v>5000</v>
      </c>
      <c r="F83" s="6">
        <f t="shared" si="1"/>
        <v>5000</v>
      </c>
    </row>
    <row r="84" spans="1:8" x14ac:dyDescent="0.25">
      <c r="A84" t="s">
        <v>13</v>
      </c>
      <c r="B84" s="3">
        <v>45683</v>
      </c>
      <c r="C84" s="1" t="s">
        <v>6</v>
      </c>
      <c r="D84" s="2">
        <v>3000</v>
      </c>
      <c r="F84" s="6">
        <f t="shared" si="1"/>
        <v>3000</v>
      </c>
    </row>
    <row r="85" spans="1:8" x14ac:dyDescent="0.25">
      <c r="B85" s="3">
        <v>45683</v>
      </c>
      <c r="C85" s="1" t="s">
        <v>4</v>
      </c>
      <c r="D85" s="2">
        <v>2500</v>
      </c>
      <c r="F85" s="6">
        <f t="shared" si="1"/>
        <v>2500</v>
      </c>
    </row>
    <row r="86" spans="1:8" x14ac:dyDescent="0.25">
      <c r="B86" s="3">
        <v>45683</v>
      </c>
      <c r="C86" s="1" t="s">
        <v>15</v>
      </c>
      <c r="D86" s="2">
        <v>1500</v>
      </c>
      <c r="F86" s="6">
        <f t="shared" si="1"/>
        <v>1500</v>
      </c>
    </row>
    <row r="87" spans="1:8" x14ac:dyDescent="0.25">
      <c r="B87" s="3">
        <v>45683</v>
      </c>
      <c r="C87" s="1" t="s">
        <v>27</v>
      </c>
      <c r="D87" s="2">
        <v>5000</v>
      </c>
      <c r="F87" s="6">
        <f t="shared" si="1"/>
        <v>5000</v>
      </c>
    </row>
    <row r="88" spans="1:8" x14ac:dyDescent="0.25">
      <c r="F88" s="6"/>
    </row>
    <row r="89" spans="1:8" x14ac:dyDescent="0.25">
      <c r="A89" t="s">
        <v>7</v>
      </c>
      <c r="B89" s="3">
        <v>45684</v>
      </c>
      <c r="C89" s="1" t="s">
        <v>3</v>
      </c>
      <c r="D89" s="2">
        <v>2500</v>
      </c>
      <c r="F89" s="6">
        <f t="shared" si="1"/>
        <v>2500</v>
      </c>
      <c r="H89" s="7" t="s">
        <v>24</v>
      </c>
    </row>
    <row r="90" spans="1:8" x14ac:dyDescent="0.25">
      <c r="B90" s="3">
        <v>45684</v>
      </c>
      <c r="C90" s="1" t="s">
        <v>4</v>
      </c>
      <c r="D90" s="2">
        <v>2500</v>
      </c>
      <c r="F90" s="6">
        <f t="shared" si="1"/>
        <v>2500</v>
      </c>
      <c r="H90" s="4"/>
    </row>
    <row r="91" spans="1:8" x14ac:dyDescent="0.25">
      <c r="B91" s="3">
        <v>45684</v>
      </c>
      <c r="C91" s="1" t="s">
        <v>15</v>
      </c>
      <c r="D91" s="2">
        <v>1500</v>
      </c>
      <c r="F91" s="6">
        <f t="shared" si="1"/>
        <v>1500</v>
      </c>
    </row>
    <row r="92" spans="1:8" x14ac:dyDescent="0.25">
      <c r="B92" s="3">
        <v>45684</v>
      </c>
      <c r="C92" s="1" t="s">
        <v>27</v>
      </c>
      <c r="D92" s="2">
        <v>5000</v>
      </c>
      <c r="F92" s="6">
        <f t="shared" si="1"/>
        <v>5000</v>
      </c>
    </row>
    <row r="93" spans="1:8" x14ac:dyDescent="0.25">
      <c r="A93" t="s">
        <v>8</v>
      </c>
      <c r="B93" s="3">
        <v>45685</v>
      </c>
      <c r="C93" s="1" t="s">
        <v>4</v>
      </c>
      <c r="D93" s="2">
        <v>2500</v>
      </c>
      <c r="F93" s="6">
        <f t="shared" si="1"/>
        <v>2500</v>
      </c>
    </row>
    <row r="94" spans="1:8" x14ac:dyDescent="0.25">
      <c r="B94" s="3">
        <v>45685</v>
      </c>
      <c r="C94" s="1" t="s">
        <v>15</v>
      </c>
      <c r="D94" s="2">
        <v>1500</v>
      </c>
      <c r="F94" s="6">
        <f t="shared" si="1"/>
        <v>1500</v>
      </c>
    </row>
    <row r="95" spans="1:8" x14ac:dyDescent="0.25">
      <c r="B95" s="3">
        <v>45685</v>
      </c>
      <c r="C95" s="1" t="s">
        <v>27</v>
      </c>
      <c r="D95" s="2">
        <v>5000</v>
      </c>
      <c r="F95" s="6">
        <f t="shared" si="1"/>
        <v>5000</v>
      </c>
    </row>
    <row r="96" spans="1:8" x14ac:dyDescent="0.25">
      <c r="A96" t="s">
        <v>9</v>
      </c>
      <c r="B96" s="3">
        <v>45686</v>
      </c>
      <c r="C96" s="1" t="s">
        <v>4</v>
      </c>
      <c r="D96" s="2">
        <v>2500</v>
      </c>
      <c r="F96" s="6">
        <f t="shared" si="1"/>
        <v>2500</v>
      </c>
    </row>
    <row r="97" spans="1:6" x14ac:dyDescent="0.25">
      <c r="B97" s="3">
        <v>45686</v>
      </c>
      <c r="C97" s="1" t="s">
        <v>15</v>
      </c>
      <c r="D97" s="2">
        <v>1500</v>
      </c>
      <c r="F97" s="6">
        <f t="shared" si="1"/>
        <v>1500</v>
      </c>
    </row>
    <row r="98" spans="1:6" x14ac:dyDescent="0.25">
      <c r="B98" s="3">
        <v>45686</v>
      </c>
      <c r="C98" s="1" t="s">
        <v>27</v>
      </c>
      <c r="D98" s="2">
        <v>5000</v>
      </c>
      <c r="F98" s="6">
        <f t="shared" si="1"/>
        <v>5000</v>
      </c>
    </row>
    <row r="99" spans="1:6" x14ac:dyDescent="0.25">
      <c r="A99" t="s">
        <v>21</v>
      </c>
      <c r="B99" s="3">
        <v>45687</v>
      </c>
      <c r="C99" s="1" t="s">
        <v>4</v>
      </c>
      <c r="D99" s="2">
        <v>2500</v>
      </c>
      <c r="F99" s="6">
        <f t="shared" si="1"/>
        <v>2500</v>
      </c>
    </row>
    <row r="100" spans="1:6" x14ac:dyDescent="0.25">
      <c r="B100" s="3">
        <v>45687</v>
      </c>
      <c r="C100" s="1" t="s">
        <v>15</v>
      </c>
      <c r="D100" s="2">
        <v>1500</v>
      </c>
      <c r="F100" s="6">
        <f t="shared" si="1"/>
        <v>1500</v>
      </c>
    </row>
    <row r="101" spans="1:6" x14ac:dyDescent="0.25">
      <c r="B101" s="3">
        <v>45687</v>
      </c>
      <c r="C101" s="1" t="s">
        <v>27</v>
      </c>
      <c r="D101" s="2">
        <v>5000</v>
      </c>
      <c r="F101" s="6">
        <f t="shared" si="1"/>
        <v>5000</v>
      </c>
    </row>
    <row r="102" spans="1:6" x14ac:dyDescent="0.25">
      <c r="A102" t="s">
        <v>11</v>
      </c>
      <c r="B102" s="3">
        <v>45688</v>
      </c>
      <c r="C102" s="1" t="s">
        <v>4</v>
      </c>
      <c r="D102" s="2">
        <v>2500</v>
      </c>
      <c r="F102" s="6">
        <f t="shared" si="1"/>
        <v>2500</v>
      </c>
    </row>
    <row r="103" spans="1:6" x14ac:dyDescent="0.25">
      <c r="B103" s="3">
        <v>45688</v>
      </c>
      <c r="C103" s="1" t="s">
        <v>15</v>
      </c>
      <c r="D103" s="2">
        <v>1500</v>
      </c>
      <c r="F103" s="6">
        <f t="shared" si="1"/>
        <v>1500</v>
      </c>
    </row>
    <row r="104" spans="1:6" x14ac:dyDescent="0.25">
      <c r="B104" s="3">
        <v>45688</v>
      </c>
      <c r="C104" s="1" t="s">
        <v>16</v>
      </c>
      <c r="D104" s="2">
        <v>3000</v>
      </c>
      <c r="F104" s="6">
        <f t="shared" si="1"/>
        <v>3000</v>
      </c>
    </row>
    <row r="105" spans="1:6" x14ac:dyDescent="0.25">
      <c r="B105" s="3">
        <v>45688</v>
      </c>
      <c r="C105" s="1" t="s">
        <v>27</v>
      </c>
      <c r="D105" s="2">
        <v>5000</v>
      </c>
      <c r="F105" s="6">
        <f t="shared" si="1"/>
        <v>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E5812-89FD-6A4C-BA47-7B5CBD393FB8}">
  <dimension ref="A3:R81"/>
  <sheetViews>
    <sheetView workbookViewId="0">
      <selection activeCell="O5" sqref="O5:R12"/>
    </sheetView>
  </sheetViews>
  <sheetFormatPr baseColWidth="10" defaultRowHeight="19" x14ac:dyDescent="0.25"/>
  <cols>
    <col min="2" max="2" width="13.6640625" style="3" customWidth="1"/>
    <col min="3" max="3" width="19.83203125" style="1" customWidth="1"/>
    <col min="4" max="4" width="12.33203125" style="11" bestFit="1" customWidth="1"/>
    <col min="5" max="6" width="10.83203125" style="1"/>
    <col min="10" max="10" width="13.6640625" customWidth="1"/>
    <col min="17" max="17" width="13.33203125" style="10" customWidth="1"/>
    <col min="18" max="18" width="10.83203125" style="10"/>
  </cols>
  <sheetData>
    <row r="3" spans="1:18" x14ac:dyDescent="0.25">
      <c r="B3" s="3" t="s">
        <v>0</v>
      </c>
      <c r="C3" s="1" t="s">
        <v>1</v>
      </c>
      <c r="D3" s="11" t="s">
        <v>2</v>
      </c>
      <c r="E3" s="1" t="s">
        <v>25</v>
      </c>
      <c r="F3" s="1" t="s">
        <v>26</v>
      </c>
    </row>
    <row r="4" spans="1:18" x14ac:dyDescent="0.25">
      <c r="A4" t="s">
        <v>13</v>
      </c>
      <c r="B4" s="3">
        <v>45627</v>
      </c>
      <c r="C4" s="1" t="s">
        <v>4</v>
      </c>
      <c r="D4" s="11">
        <v>7004</v>
      </c>
      <c r="E4" s="1">
        <v>122.65</v>
      </c>
      <c r="F4" s="6">
        <f>D4+E4</f>
        <v>7126.65</v>
      </c>
    </row>
    <row r="5" spans="1:18" x14ac:dyDescent="0.25">
      <c r="F5" s="6"/>
      <c r="P5" t="s">
        <v>28</v>
      </c>
      <c r="Q5" s="10" t="s">
        <v>29</v>
      </c>
      <c r="R5" s="10" t="s">
        <v>30</v>
      </c>
    </row>
    <row r="6" spans="1:18" x14ac:dyDescent="0.25">
      <c r="A6" t="s">
        <v>7</v>
      </c>
      <c r="B6" s="3">
        <v>45628</v>
      </c>
      <c r="C6" s="1" t="s">
        <v>3</v>
      </c>
      <c r="D6" s="11">
        <v>5026</v>
      </c>
      <c r="F6" s="6">
        <f t="shared" ref="F6:F68" si="0">D6+E6</f>
        <v>5026</v>
      </c>
      <c r="H6" s="7" t="s">
        <v>17</v>
      </c>
      <c r="J6" s="7" t="s">
        <v>14</v>
      </c>
      <c r="O6" t="s">
        <v>3</v>
      </c>
      <c r="P6">
        <v>3</v>
      </c>
      <c r="Q6" s="10">
        <f>D6+D20+D39+D76</f>
        <v>8634</v>
      </c>
      <c r="R6" s="14">
        <f>Q6/P6</f>
        <v>2878</v>
      </c>
    </row>
    <row r="7" spans="1:18" x14ac:dyDescent="0.25">
      <c r="B7" s="3">
        <v>45628</v>
      </c>
      <c r="C7" s="1" t="s">
        <v>4</v>
      </c>
      <c r="D7" s="11">
        <v>2575</v>
      </c>
      <c r="E7" s="1">
        <v>162.41999999999999</v>
      </c>
      <c r="F7" s="6">
        <f t="shared" si="0"/>
        <v>2737.42</v>
      </c>
      <c r="H7" s="8">
        <f>SUM(F6:F18)</f>
        <v>52312.289999999994</v>
      </c>
      <c r="J7" s="5">
        <f>SUM(F4:F79)</f>
        <v>268687.33999999997</v>
      </c>
      <c r="O7" t="s">
        <v>4</v>
      </c>
      <c r="P7">
        <v>31</v>
      </c>
      <c r="Q7" s="10">
        <f>D4+D7+D8+D9+D10+D12+D15+D17+D21+D23+D25+D26+D28+D32+D36+D40+D42+D44+D46+D48+D52+D55+D58+D60+D62+D64+D66+D69+D72+D75+D78</f>
        <v>79639</v>
      </c>
      <c r="R7" s="14">
        <f t="shared" ref="R7:R12" si="1">Q7/P7</f>
        <v>2569</v>
      </c>
    </row>
    <row r="8" spans="1:18" x14ac:dyDescent="0.25">
      <c r="A8" t="s">
        <v>8</v>
      </c>
      <c r="B8" s="3">
        <v>45629</v>
      </c>
      <c r="C8" s="1" t="s">
        <v>4</v>
      </c>
      <c r="D8" s="11">
        <v>2000</v>
      </c>
      <c r="E8" s="1">
        <v>523.72</v>
      </c>
      <c r="F8" s="6">
        <f t="shared" si="0"/>
        <v>2523.7200000000003</v>
      </c>
      <c r="O8" t="s">
        <v>16</v>
      </c>
      <c r="P8">
        <v>3</v>
      </c>
      <c r="Q8" s="10">
        <f>D29+D33+D50</f>
        <v>9725</v>
      </c>
      <c r="R8" s="14">
        <f t="shared" si="1"/>
        <v>3241.6666666666665</v>
      </c>
    </row>
    <row r="9" spans="1:18" x14ac:dyDescent="0.25">
      <c r="A9" t="s">
        <v>9</v>
      </c>
      <c r="B9" s="3">
        <v>45630</v>
      </c>
      <c r="C9" s="1" t="s">
        <v>4</v>
      </c>
      <c r="D9" s="11">
        <v>3568</v>
      </c>
      <c r="F9" s="6">
        <f t="shared" si="0"/>
        <v>3568</v>
      </c>
      <c r="O9" t="s">
        <v>6</v>
      </c>
      <c r="P9">
        <v>7</v>
      </c>
      <c r="Q9" s="10">
        <f>D14+D31+D35+D51+D54+D68+D71</f>
        <v>23381</v>
      </c>
      <c r="R9" s="14">
        <f t="shared" si="1"/>
        <v>3340.1428571428573</v>
      </c>
    </row>
    <row r="10" spans="1:18" x14ac:dyDescent="0.25">
      <c r="A10" t="s">
        <v>10</v>
      </c>
      <c r="B10" s="3">
        <v>45631</v>
      </c>
      <c r="C10" s="1" t="s">
        <v>4</v>
      </c>
      <c r="D10" s="11">
        <v>3600</v>
      </c>
      <c r="E10" s="1">
        <v>59.67</v>
      </c>
      <c r="F10" s="6">
        <f t="shared" si="0"/>
        <v>3659.67</v>
      </c>
      <c r="O10" t="s">
        <v>15</v>
      </c>
      <c r="P10">
        <v>10</v>
      </c>
      <c r="Q10" s="10">
        <f>D27+D34+D37+D41+D43+D45+D47+D49+D30</f>
        <v>11112</v>
      </c>
      <c r="R10" s="14">
        <f t="shared" si="1"/>
        <v>1111.2</v>
      </c>
    </row>
    <row r="11" spans="1:18" x14ac:dyDescent="0.25">
      <c r="B11" s="3">
        <v>45631</v>
      </c>
      <c r="C11" s="1" t="s">
        <v>5</v>
      </c>
      <c r="D11" s="11">
        <v>2600</v>
      </c>
      <c r="F11" s="6">
        <f t="shared" si="0"/>
        <v>2600</v>
      </c>
      <c r="O11" t="s">
        <v>5</v>
      </c>
      <c r="P11">
        <v>6</v>
      </c>
      <c r="Q11" s="10">
        <f>D11+D13+D16+D18+D22+D24</f>
        <v>42078</v>
      </c>
      <c r="R11" s="12">
        <f t="shared" si="1"/>
        <v>7013</v>
      </c>
    </row>
    <row r="12" spans="1:18" x14ac:dyDescent="0.25">
      <c r="A12" t="s">
        <v>11</v>
      </c>
      <c r="B12" s="3">
        <v>45632</v>
      </c>
      <c r="C12" s="1" t="s">
        <v>4</v>
      </c>
      <c r="D12" s="11">
        <v>2300</v>
      </c>
      <c r="E12" s="1">
        <v>162.41999999999999</v>
      </c>
      <c r="F12" s="6">
        <f t="shared" si="0"/>
        <v>2462.42</v>
      </c>
      <c r="O12" t="s">
        <v>22</v>
      </c>
      <c r="P12">
        <v>11</v>
      </c>
      <c r="Q12" s="10">
        <f>D53+D56+D59+D61+D63+D65+D67+D70+D73+D77+D79</f>
        <v>88311</v>
      </c>
      <c r="R12" s="12">
        <f t="shared" si="1"/>
        <v>8028.272727272727</v>
      </c>
    </row>
    <row r="13" spans="1:18" x14ac:dyDescent="0.25">
      <c r="B13" s="3">
        <v>45632</v>
      </c>
      <c r="C13" s="1" t="s">
        <v>5</v>
      </c>
      <c r="D13" s="11">
        <v>4600</v>
      </c>
      <c r="F13" s="6">
        <f t="shared" si="0"/>
        <v>4600</v>
      </c>
    </row>
    <row r="14" spans="1:18" x14ac:dyDescent="0.25">
      <c r="A14" t="s">
        <v>12</v>
      </c>
      <c r="B14" s="3">
        <v>45633</v>
      </c>
      <c r="C14" s="1" t="s">
        <v>6</v>
      </c>
      <c r="D14" s="11">
        <v>1800</v>
      </c>
      <c r="F14" s="6">
        <f t="shared" si="0"/>
        <v>1800</v>
      </c>
      <c r="Q14" s="13">
        <f>SUM(Q6:Q12)</f>
        <v>262880</v>
      </c>
    </row>
    <row r="15" spans="1:18" x14ac:dyDescent="0.25">
      <c r="B15" s="3">
        <v>45633</v>
      </c>
      <c r="C15" s="1" t="s">
        <v>4</v>
      </c>
      <c r="D15" s="11">
        <v>2308</v>
      </c>
      <c r="E15" s="1">
        <v>301.64</v>
      </c>
      <c r="F15" s="6">
        <f t="shared" si="0"/>
        <v>2609.64</v>
      </c>
    </row>
    <row r="16" spans="1:18" x14ac:dyDescent="0.25">
      <c r="B16" s="3">
        <v>45633</v>
      </c>
      <c r="C16" s="1" t="s">
        <v>5</v>
      </c>
      <c r="D16" s="11">
        <v>8600</v>
      </c>
      <c r="F16" s="6">
        <f t="shared" si="0"/>
        <v>8600</v>
      </c>
    </row>
    <row r="17" spans="1:8" x14ac:dyDescent="0.25">
      <c r="A17" t="s">
        <v>13</v>
      </c>
      <c r="B17" s="3">
        <v>45634</v>
      </c>
      <c r="C17" s="1" t="s">
        <v>4</v>
      </c>
      <c r="D17" s="11">
        <v>3734</v>
      </c>
      <c r="E17" s="1">
        <v>341.42</v>
      </c>
      <c r="F17" s="6">
        <f t="shared" si="0"/>
        <v>4075.42</v>
      </c>
    </row>
    <row r="18" spans="1:8" x14ac:dyDescent="0.25">
      <c r="B18" s="3">
        <v>45634</v>
      </c>
      <c r="C18" s="1" t="s">
        <v>5</v>
      </c>
      <c r="D18" s="11">
        <v>8050</v>
      </c>
      <c r="F18" s="6">
        <f t="shared" si="0"/>
        <v>8050</v>
      </c>
    </row>
    <row r="19" spans="1:8" x14ac:dyDescent="0.25">
      <c r="F19" s="6"/>
    </row>
    <row r="20" spans="1:8" x14ac:dyDescent="0.25">
      <c r="A20" t="s">
        <v>7</v>
      </c>
      <c r="B20" s="3">
        <v>45635</v>
      </c>
      <c r="C20" s="1" t="s">
        <v>3</v>
      </c>
      <c r="D20" s="11">
        <v>2548</v>
      </c>
      <c r="F20" s="6">
        <f t="shared" si="0"/>
        <v>2548</v>
      </c>
      <c r="H20" s="7" t="s">
        <v>18</v>
      </c>
    </row>
    <row r="21" spans="1:8" x14ac:dyDescent="0.25">
      <c r="B21" s="3">
        <v>45635</v>
      </c>
      <c r="C21" s="1" t="s">
        <v>4</v>
      </c>
      <c r="D21" s="11">
        <v>2018</v>
      </c>
      <c r="E21" s="1">
        <v>271.8</v>
      </c>
      <c r="F21" s="6">
        <f t="shared" si="0"/>
        <v>2289.8000000000002</v>
      </c>
      <c r="H21" s="8">
        <f>SUM(F20:F37)</f>
        <v>58605.15</v>
      </c>
    </row>
    <row r="22" spans="1:8" x14ac:dyDescent="0.25">
      <c r="B22" s="3">
        <v>45635</v>
      </c>
      <c r="C22" s="1" t="s">
        <v>5</v>
      </c>
      <c r="D22" s="11">
        <v>8670</v>
      </c>
      <c r="F22" s="6">
        <f t="shared" si="0"/>
        <v>8670</v>
      </c>
    </row>
    <row r="23" spans="1:8" x14ac:dyDescent="0.25">
      <c r="A23" t="s">
        <v>8</v>
      </c>
      <c r="B23" s="3">
        <v>45636</v>
      </c>
      <c r="C23" s="1" t="s">
        <v>4</v>
      </c>
      <c r="D23" s="11">
        <v>2820</v>
      </c>
      <c r="E23" s="1">
        <v>139.22</v>
      </c>
      <c r="F23" s="6">
        <f t="shared" si="0"/>
        <v>2959.22</v>
      </c>
    </row>
    <row r="24" spans="1:8" x14ac:dyDescent="0.25">
      <c r="B24" s="3">
        <v>45636</v>
      </c>
      <c r="C24" s="1" t="s">
        <v>5</v>
      </c>
      <c r="D24" s="11">
        <v>9558</v>
      </c>
      <c r="F24" s="6">
        <f t="shared" si="0"/>
        <v>9558</v>
      </c>
    </row>
    <row r="25" spans="1:8" x14ac:dyDescent="0.25">
      <c r="A25" t="s">
        <v>9</v>
      </c>
      <c r="B25" s="3">
        <v>45637</v>
      </c>
      <c r="C25" s="1" t="s">
        <v>4</v>
      </c>
      <c r="D25" s="11">
        <v>2199</v>
      </c>
      <c r="E25" s="1">
        <v>202.2</v>
      </c>
      <c r="F25" s="6">
        <f t="shared" si="0"/>
        <v>2401.1999999999998</v>
      </c>
    </row>
    <row r="26" spans="1:8" x14ac:dyDescent="0.25">
      <c r="A26" t="s">
        <v>10</v>
      </c>
      <c r="B26" s="3">
        <v>45638</v>
      </c>
      <c r="C26" s="1" t="s">
        <v>4</v>
      </c>
      <c r="D26" s="11">
        <v>2055</v>
      </c>
      <c r="E26" s="1">
        <v>135.9</v>
      </c>
      <c r="F26" s="6">
        <f t="shared" si="0"/>
        <v>2190.9</v>
      </c>
    </row>
    <row r="27" spans="1:8" x14ac:dyDescent="0.25">
      <c r="B27" s="3">
        <v>45638</v>
      </c>
      <c r="C27" s="1" t="s">
        <v>15</v>
      </c>
      <c r="D27" s="11">
        <v>800</v>
      </c>
      <c r="F27" s="6">
        <f t="shared" si="0"/>
        <v>800</v>
      </c>
    </row>
    <row r="28" spans="1:8" x14ac:dyDescent="0.25">
      <c r="A28" t="s">
        <v>11</v>
      </c>
      <c r="B28" s="3">
        <v>45639</v>
      </c>
      <c r="C28" s="1" t="s">
        <v>4</v>
      </c>
      <c r="D28" s="11">
        <v>2084</v>
      </c>
      <c r="E28" s="1">
        <v>205.51</v>
      </c>
      <c r="F28" s="6">
        <f t="shared" si="0"/>
        <v>2289.5100000000002</v>
      </c>
    </row>
    <row r="29" spans="1:8" x14ac:dyDescent="0.25">
      <c r="B29" s="3">
        <v>45639</v>
      </c>
      <c r="C29" s="1" t="s">
        <v>16</v>
      </c>
      <c r="D29" s="11">
        <v>2975</v>
      </c>
      <c r="F29" s="6">
        <f t="shared" si="0"/>
        <v>2975</v>
      </c>
    </row>
    <row r="30" spans="1:8" x14ac:dyDescent="0.25">
      <c r="B30" s="3">
        <v>45639</v>
      </c>
      <c r="C30" s="1" t="s">
        <v>15</v>
      </c>
      <c r="D30" s="11">
        <v>300</v>
      </c>
      <c r="F30" s="6">
        <f t="shared" si="0"/>
        <v>300</v>
      </c>
    </row>
    <row r="31" spans="1:8" x14ac:dyDescent="0.25">
      <c r="A31" t="s">
        <v>12</v>
      </c>
      <c r="B31" s="3">
        <v>45640</v>
      </c>
      <c r="C31" s="1" t="s">
        <v>6</v>
      </c>
      <c r="D31" s="11">
        <v>4037</v>
      </c>
      <c r="F31" s="6">
        <f t="shared" si="0"/>
        <v>4037</v>
      </c>
    </row>
    <row r="32" spans="1:8" x14ac:dyDescent="0.25">
      <c r="B32" s="3">
        <v>45640</v>
      </c>
      <c r="C32" s="1" t="s">
        <v>4</v>
      </c>
      <c r="D32" s="11">
        <v>2084</v>
      </c>
      <c r="E32" s="1">
        <v>172.27</v>
      </c>
      <c r="F32" s="6">
        <f t="shared" si="0"/>
        <v>2256.27</v>
      </c>
    </row>
    <row r="33" spans="1:8" x14ac:dyDescent="0.25">
      <c r="B33" s="3">
        <v>45640</v>
      </c>
      <c r="C33" s="1" t="s">
        <v>16</v>
      </c>
      <c r="D33" s="11">
        <v>3866</v>
      </c>
      <c r="F33" s="6">
        <f t="shared" si="0"/>
        <v>3866</v>
      </c>
    </row>
    <row r="34" spans="1:8" x14ac:dyDescent="0.25">
      <c r="B34" s="3">
        <v>45640</v>
      </c>
      <c r="C34" s="1" t="s">
        <v>15</v>
      </c>
      <c r="D34" s="11">
        <v>1843</v>
      </c>
      <c r="F34" s="6">
        <f t="shared" si="0"/>
        <v>1843</v>
      </c>
    </row>
    <row r="35" spans="1:8" x14ac:dyDescent="0.25">
      <c r="A35" t="s">
        <v>13</v>
      </c>
      <c r="B35" s="3">
        <v>45641</v>
      </c>
      <c r="C35" s="1" t="s">
        <v>6</v>
      </c>
      <c r="D35" s="11">
        <v>2794</v>
      </c>
      <c r="F35" s="6">
        <f t="shared" si="0"/>
        <v>2794</v>
      </c>
    </row>
    <row r="36" spans="1:8" x14ac:dyDescent="0.25">
      <c r="B36" s="3">
        <v>45641</v>
      </c>
      <c r="C36" s="1" t="s">
        <v>4</v>
      </c>
      <c r="D36" s="11">
        <v>4276</v>
      </c>
      <c r="E36" s="1">
        <v>487.25</v>
      </c>
      <c r="F36" s="6">
        <f t="shared" si="0"/>
        <v>4763.25</v>
      </c>
    </row>
    <row r="37" spans="1:8" x14ac:dyDescent="0.25">
      <c r="B37" s="3">
        <v>45641</v>
      </c>
      <c r="C37" s="1" t="s">
        <v>15</v>
      </c>
      <c r="D37" s="11">
        <v>2064</v>
      </c>
      <c r="F37" s="6">
        <f t="shared" si="0"/>
        <v>2064</v>
      </c>
    </row>
    <row r="38" spans="1:8" x14ac:dyDescent="0.25">
      <c r="F38" s="6"/>
    </row>
    <row r="39" spans="1:8" x14ac:dyDescent="0.25">
      <c r="A39" t="s">
        <v>7</v>
      </c>
      <c r="B39" s="3">
        <v>45642</v>
      </c>
      <c r="C39" s="1" t="s">
        <v>3</v>
      </c>
      <c r="D39" s="11">
        <v>0</v>
      </c>
      <c r="F39" s="6">
        <f t="shared" si="0"/>
        <v>0</v>
      </c>
      <c r="H39" s="7" t="s">
        <v>19</v>
      </c>
    </row>
    <row r="40" spans="1:8" x14ac:dyDescent="0.25">
      <c r="B40" s="3">
        <v>45642</v>
      </c>
      <c r="C40" s="1" t="s">
        <v>4</v>
      </c>
      <c r="D40" s="11">
        <v>4152</v>
      </c>
      <c r="E40" s="1">
        <v>185.62</v>
      </c>
      <c r="F40" s="6">
        <f t="shared" si="0"/>
        <v>4337.62</v>
      </c>
      <c r="H40" s="9">
        <f>SUM(F39:F56)</f>
        <v>53461.22</v>
      </c>
    </row>
    <row r="41" spans="1:8" x14ac:dyDescent="0.25">
      <c r="B41" s="3">
        <v>45642</v>
      </c>
      <c r="C41" s="1" t="s">
        <v>15</v>
      </c>
      <c r="D41" s="11">
        <v>1725</v>
      </c>
      <c r="F41" s="6">
        <f t="shared" si="0"/>
        <v>1725</v>
      </c>
    </row>
    <row r="42" spans="1:8" x14ac:dyDescent="0.25">
      <c r="A42" t="s">
        <v>8</v>
      </c>
      <c r="B42" s="3">
        <v>45643</v>
      </c>
      <c r="C42" s="1" t="s">
        <v>4</v>
      </c>
      <c r="D42" s="11">
        <v>3890</v>
      </c>
      <c r="E42" s="1">
        <v>285.07</v>
      </c>
      <c r="F42" s="6">
        <f t="shared" si="0"/>
        <v>4175.07</v>
      </c>
    </row>
    <row r="43" spans="1:8" x14ac:dyDescent="0.25">
      <c r="B43" s="3">
        <v>45643</v>
      </c>
      <c r="C43" s="1" t="s">
        <v>15</v>
      </c>
      <c r="D43" s="11">
        <v>1599</v>
      </c>
      <c r="F43" s="6">
        <f t="shared" si="0"/>
        <v>1599</v>
      </c>
    </row>
    <row r="44" spans="1:8" x14ac:dyDescent="0.25">
      <c r="A44" t="s">
        <v>9</v>
      </c>
      <c r="B44" s="3">
        <v>45644</v>
      </c>
      <c r="C44" s="1" t="s">
        <v>20</v>
      </c>
      <c r="D44" s="11">
        <v>5134</v>
      </c>
      <c r="F44" s="6">
        <f t="shared" si="0"/>
        <v>5134</v>
      </c>
    </row>
    <row r="45" spans="1:8" x14ac:dyDescent="0.25">
      <c r="B45" s="3">
        <v>45644</v>
      </c>
      <c r="C45" s="1" t="s">
        <v>15</v>
      </c>
      <c r="D45" s="11">
        <v>1292</v>
      </c>
      <c r="F45" s="6">
        <f t="shared" si="0"/>
        <v>1292</v>
      </c>
    </row>
    <row r="46" spans="1:8" x14ac:dyDescent="0.25">
      <c r="A46" t="s">
        <v>21</v>
      </c>
      <c r="B46" s="3">
        <v>45645</v>
      </c>
      <c r="C46" s="1" t="s">
        <v>4</v>
      </c>
      <c r="D46" s="11">
        <v>2764</v>
      </c>
      <c r="E46" s="1">
        <v>139.22999999999999</v>
      </c>
      <c r="F46" s="6">
        <f t="shared" si="0"/>
        <v>2903.23</v>
      </c>
    </row>
    <row r="47" spans="1:8" x14ac:dyDescent="0.25">
      <c r="B47" s="3">
        <v>45645</v>
      </c>
      <c r="C47" s="1" t="s">
        <v>15</v>
      </c>
      <c r="D47" s="11">
        <v>1023</v>
      </c>
      <c r="F47" s="6">
        <f t="shared" si="0"/>
        <v>1023</v>
      </c>
    </row>
    <row r="48" spans="1:8" x14ac:dyDescent="0.25">
      <c r="A48" t="s">
        <v>11</v>
      </c>
      <c r="B48" s="3">
        <v>45646</v>
      </c>
      <c r="C48" s="1" t="s">
        <v>4</v>
      </c>
      <c r="D48" s="11">
        <v>1609</v>
      </c>
      <c r="E48" s="1">
        <v>66.3</v>
      </c>
      <c r="F48" s="6">
        <f t="shared" si="0"/>
        <v>1675.3</v>
      </c>
    </row>
    <row r="49" spans="1:8" x14ac:dyDescent="0.25">
      <c r="B49" s="3">
        <v>45646</v>
      </c>
      <c r="C49" s="1" t="s">
        <v>15</v>
      </c>
      <c r="D49" s="11">
        <v>466</v>
      </c>
      <c r="F49" s="6">
        <f t="shared" si="0"/>
        <v>466</v>
      </c>
    </row>
    <row r="50" spans="1:8" x14ac:dyDescent="0.25">
      <c r="B50" s="3">
        <v>45646</v>
      </c>
      <c r="C50" s="1" t="s">
        <v>16</v>
      </c>
      <c r="D50" s="11">
        <v>2884</v>
      </c>
      <c r="F50" s="6">
        <f t="shared" si="0"/>
        <v>2884</v>
      </c>
    </row>
    <row r="51" spans="1:8" x14ac:dyDescent="0.25">
      <c r="A51" t="s">
        <v>12</v>
      </c>
      <c r="B51" s="3">
        <v>45647</v>
      </c>
      <c r="C51" s="1" t="s">
        <v>6</v>
      </c>
      <c r="D51" s="11">
        <v>3969</v>
      </c>
      <c r="F51" s="6">
        <f t="shared" si="0"/>
        <v>3969</v>
      </c>
    </row>
    <row r="52" spans="1:8" x14ac:dyDescent="0.25">
      <c r="B52" s="3">
        <v>45647</v>
      </c>
      <c r="C52" s="1" t="s">
        <v>4</v>
      </c>
      <c r="D52" s="11">
        <v>2428</v>
      </c>
      <c r="E52" s="1">
        <v>258.58999999999997</v>
      </c>
      <c r="F52" s="6">
        <f t="shared" si="0"/>
        <v>2686.59</v>
      </c>
    </row>
    <row r="53" spans="1:8" x14ac:dyDescent="0.25">
      <c r="B53" s="3">
        <v>45647</v>
      </c>
      <c r="C53" s="1" t="s">
        <v>22</v>
      </c>
      <c r="D53" s="11">
        <v>5803</v>
      </c>
      <c r="F53" s="6">
        <f t="shared" si="0"/>
        <v>5803</v>
      </c>
    </row>
    <row r="54" spans="1:8" x14ac:dyDescent="0.25">
      <c r="A54" t="s">
        <v>13</v>
      </c>
      <c r="B54" s="3">
        <v>45648</v>
      </c>
      <c r="C54" s="1" t="s">
        <v>6</v>
      </c>
      <c r="D54" s="11">
        <v>2954</v>
      </c>
      <c r="F54" s="6">
        <f t="shared" si="0"/>
        <v>2954</v>
      </c>
    </row>
    <row r="55" spans="1:8" x14ac:dyDescent="0.25">
      <c r="B55" s="3">
        <v>45648</v>
      </c>
      <c r="C55" s="1" t="s">
        <v>4</v>
      </c>
      <c r="D55" s="11">
        <v>949</v>
      </c>
      <c r="E55" s="1">
        <v>46.41</v>
      </c>
      <c r="F55" s="6">
        <f t="shared" si="0"/>
        <v>995.41</v>
      </c>
    </row>
    <row r="56" spans="1:8" x14ac:dyDescent="0.25">
      <c r="B56" s="3">
        <v>45648</v>
      </c>
      <c r="C56" s="1" t="s">
        <v>22</v>
      </c>
      <c r="D56" s="11">
        <v>9839</v>
      </c>
      <c r="F56" s="6">
        <f t="shared" si="0"/>
        <v>9839</v>
      </c>
    </row>
    <row r="57" spans="1:8" x14ac:dyDescent="0.25">
      <c r="F57" s="6"/>
    </row>
    <row r="58" spans="1:8" x14ac:dyDescent="0.25">
      <c r="A58" t="s">
        <v>7</v>
      </c>
      <c r="B58" s="3">
        <v>45649</v>
      </c>
      <c r="C58" s="1" t="s">
        <v>4</v>
      </c>
      <c r="D58" s="11">
        <v>3770</v>
      </c>
      <c r="E58" s="1">
        <v>86.19</v>
      </c>
      <c r="F58" s="6">
        <f t="shared" si="0"/>
        <v>3856.19</v>
      </c>
      <c r="H58" s="7" t="s">
        <v>23</v>
      </c>
    </row>
    <row r="59" spans="1:8" x14ac:dyDescent="0.25">
      <c r="B59" s="3">
        <v>45649</v>
      </c>
      <c r="C59" s="1" t="s">
        <v>22</v>
      </c>
      <c r="D59" s="11">
        <v>8602</v>
      </c>
      <c r="F59" s="6">
        <f t="shared" si="0"/>
        <v>8602</v>
      </c>
      <c r="H59" s="8">
        <f>SUM(F58:F73)</f>
        <v>78400.02</v>
      </c>
    </row>
    <row r="60" spans="1:8" x14ac:dyDescent="0.25">
      <c r="A60" t="s">
        <v>8</v>
      </c>
      <c r="B60" s="3">
        <v>45650</v>
      </c>
      <c r="C60" s="1" t="s">
        <v>4</v>
      </c>
      <c r="D60" s="11">
        <v>1872</v>
      </c>
      <c r="E60" s="1">
        <v>149.15</v>
      </c>
      <c r="F60" s="6">
        <f t="shared" si="0"/>
        <v>2021.15</v>
      </c>
    </row>
    <row r="61" spans="1:8" x14ac:dyDescent="0.25">
      <c r="B61" s="3">
        <v>45650</v>
      </c>
      <c r="C61" s="1" t="s">
        <v>22</v>
      </c>
      <c r="D61" s="11">
        <v>8484</v>
      </c>
      <c r="F61" s="6">
        <f t="shared" si="0"/>
        <v>8484</v>
      </c>
    </row>
    <row r="62" spans="1:8" x14ac:dyDescent="0.25">
      <c r="A62" t="s">
        <v>9</v>
      </c>
      <c r="B62" s="3">
        <v>45651</v>
      </c>
      <c r="C62" s="1" t="s">
        <v>4</v>
      </c>
      <c r="D62" s="11">
        <v>1095</v>
      </c>
      <c r="E62" s="1">
        <v>139.22</v>
      </c>
      <c r="F62" s="6">
        <f t="shared" si="0"/>
        <v>1234.22</v>
      </c>
    </row>
    <row r="63" spans="1:8" x14ac:dyDescent="0.25">
      <c r="B63" s="3">
        <v>45651</v>
      </c>
      <c r="C63" s="1" t="s">
        <v>22</v>
      </c>
      <c r="D63" s="11">
        <v>7612</v>
      </c>
      <c r="F63" s="6">
        <f t="shared" si="0"/>
        <v>7612</v>
      </c>
    </row>
    <row r="64" spans="1:8" x14ac:dyDescent="0.25">
      <c r="A64" t="s">
        <v>21</v>
      </c>
      <c r="B64" s="3">
        <v>45652</v>
      </c>
      <c r="C64" s="1" t="s">
        <v>4</v>
      </c>
      <c r="D64" s="11">
        <v>1124</v>
      </c>
      <c r="E64" s="1">
        <v>175.68</v>
      </c>
      <c r="F64" s="6">
        <f t="shared" si="0"/>
        <v>1299.68</v>
      </c>
    </row>
    <row r="65" spans="1:8" x14ac:dyDescent="0.25">
      <c r="B65" s="3">
        <v>45652</v>
      </c>
      <c r="C65" s="1" t="s">
        <v>22</v>
      </c>
      <c r="D65" s="11">
        <v>7777</v>
      </c>
      <c r="F65" s="6">
        <f t="shared" si="0"/>
        <v>7777</v>
      </c>
    </row>
    <row r="66" spans="1:8" x14ac:dyDescent="0.25">
      <c r="A66" t="s">
        <v>11</v>
      </c>
      <c r="B66" s="3">
        <v>45653</v>
      </c>
      <c r="C66" s="1" t="s">
        <v>4</v>
      </c>
      <c r="D66" s="11">
        <v>1724</v>
      </c>
      <c r="E66" s="1">
        <v>135.91</v>
      </c>
      <c r="F66" s="6">
        <f t="shared" si="0"/>
        <v>1859.91</v>
      </c>
    </row>
    <row r="67" spans="1:8" x14ac:dyDescent="0.25">
      <c r="B67" s="3">
        <v>45653</v>
      </c>
      <c r="C67" s="1" t="s">
        <v>22</v>
      </c>
      <c r="D67" s="11">
        <v>9486</v>
      </c>
      <c r="F67" s="6">
        <f t="shared" si="0"/>
        <v>9486</v>
      </c>
    </row>
    <row r="68" spans="1:8" x14ac:dyDescent="0.25">
      <c r="A68" t="s">
        <v>12</v>
      </c>
      <c r="B68" s="3">
        <v>45654</v>
      </c>
      <c r="C68" s="1" t="s">
        <v>6</v>
      </c>
      <c r="D68" s="11">
        <v>3515</v>
      </c>
      <c r="F68" s="6">
        <f t="shared" si="0"/>
        <v>3515</v>
      </c>
    </row>
    <row r="69" spans="1:8" x14ac:dyDescent="0.25">
      <c r="B69" s="3">
        <v>45654</v>
      </c>
      <c r="C69" s="1" t="s">
        <v>4</v>
      </c>
      <c r="D69" s="11">
        <v>774</v>
      </c>
      <c r="E69" s="1">
        <v>364.61</v>
      </c>
      <c r="F69" s="6">
        <f t="shared" ref="F69:F76" si="2">D69+E69</f>
        <v>1138.6100000000001</v>
      </c>
    </row>
    <row r="70" spans="1:8" x14ac:dyDescent="0.25">
      <c r="B70" s="3">
        <v>45654</v>
      </c>
      <c r="C70" s="1" t="s">
        <v>22</v>
      </c>
      <c r="D70" s="11">
        <v>8539</v>
      </c>
      <c r="F70" s="6">
        <f t="shared" si="2"/>
        <v>8539</v>
      </c>
    </row>
    <row r="71" spans="1:8" x14ac:dyDescent="0.25">
      <c r="A71" t="s">
        <v>13</v>
      </c>
      <c r="B71" s="3">
        <v>45655</v>
      </c>
      <c r="C71" s="1" t="s">
        <v>6</v>
      </c>
      <c r="D71" s="11">
        <v>4312</v>
      </c>
      <c r="F71" s="6">
        <f t="shared" si="2"/>
        <v>4312</v>
      </c>
    </row>
    <row r="72" spans="1:8" x14ac:dyDescent="0.25">
      <c r="B72" s="3">
        <v>45655</v>
      </c>
      <c r="C72" s="1" t="s">
        <v>4</v>
      </c>
      <c r="D72" s="11">
        <v>969</v>
      </c>
      <c r="E72" s="1">
        <v>371.26</v>
      </c>
      <c r="F72" s="6">
        <f t="shared" si="2"/>
        <v>1340.26</v>
      </c>
    </row>
    <row r="73" spans="1:8" x14ac:dyDescent="0.25">
      <c r="B73" s="3">
        <v>45655</v>
      </c>
      <c r="C73" s="1" t="s">
        <v>22</v>
      </c>
      <c r="D73" s="11">
        <v>7323</v>
      </c>
      <c r="F73" s="6">
        <f t="shared" si="2"/>
        <v>7323</v>
      </c>
    </row>
    <row r="74" spans="1:8" x14ac:dyDescent="0.25">
      <c r="F74" s="6"/>
    </row>
    <row r="75" spans="1:8" x14ac:dyDescent="0.25">
      <c r="A75" t="s">
        <v>7</v>
      </c>
      <c r="B75" s="3">
        <v>45656</v>
      </c>
      <c r="C75" s="1" t="s">
        <v>4</v>
      </c>
      <c r="D75" s="11">
        <v>1200</v>
      </c>
      <c r="E75" s="1">
        <v>116.01</v>
      </c>
      <c r="F75" s="6">
        <f t="shared" si="2"/>
        <v>1316.01</v>
      </c>
      <c r="H75" s="7" t="s">
        <v>24</v>
      </c>
    </row>
    <row r="76" spans="1:8" x14ac:dyDescent="0.25">
      <c r="B76" s="3">
        <v>45656</v>
      </c>
      <c r="C76" s="1" t="s">
        <v>3</v>
      </c>
      <c r="D76" s="11">
        <v>1060</v>
      </c>
      <c r="F76" s="6">
        <f t="shared" si="2"/>
        <v>1060</v>
      </c>
      <c r="H76" s="9">
        <f>SUM(F75:F79)</f>
        <v>18782.010000000002</v>
      </c>
    </row>
    <row r="77" spans="1:8" x14ac:dyDescent="0.25">
      <c r="B77" s="3">
        <v>45656</v>
      </c>
      <c r="C77" s="1" t="s">
        <v>22</v>
      </c>
      <c r="D77" s="11">
        <v>7257</v>
      </c>
      <c r="F77" s="6">
        <f>D77+E77</f>
        <v>7257</v>
      </c>
    </row>
    <row r="78" spans="1:8" x14ac:dyDescent="0.25">
      <c r="A78" t="s">
        <v>8</v>
      </c>
      <c r="B78" s="3">
        <v>45657</v>
      </c>
      <c r="C78" s="1" t="s">
        <v>4</v>
      </c>
      <c r="D78" s="11">
        <v>1560</v>
      </c>
      <c r="F78" s="6">
        <f t="shared" ref="F78:F79" si="3">D78+E78</f>
        <v>1560</v>
      </c>
    </row>
    <row r="79" spans="1:8" x14ac:dyDescent="0.25">
      <c r="B79" s="3">
        <v>45657</v>
      </c>
      <c r="C79" s="1" t="s">
        <v>22</v>
      </c>
      <c r="D79" s="11">
        <v>7589</v>
      </c>
      <c r="F79" s="6">
        <f t="shared" si="3"/>
        <v>7589</v>
      </c>
    </row>
    <row r="81" spans="4:4" x14ac:dyDescent="0.25">
      <c r="D81" s="11">
        <f>SUM(D4:D79)</f>
        <v>262880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643FA-9F02-B844-A243-B2D0C2D27F8E}">
  <sheetPr>
    <tabColor theme="7"/>
  </sheetPr>
  <dimension ref="A3:R105"/>
  <sheetViews>
    <sheetView workbookViewId="0">
      <selection activeCell="C29" sqref="C29"/>
    </sheetView>
  </sheetViews>
  <sheetFormatPr baseColWidth="10" defaultRowHeight="19" x14ac:dyDescent="0.25"/>
  <cols>
    <col min="2" max="2" width="13.6640625" style="3" customWidth="1"/>
    <col min="3" max="3" width="19.83203125" style="1" customWidth="1"/>
    <col min="4" max="4" width="10.83203125" style="2"/>
    <col min="5" max="6" width="10.83203125" style="1"/>
    <col min="10" max="10" width="13.6640625" customWidth="1"/>
  </cols>
  <sheetData>
    <row r="3" spans="1:18" x14ac:dyDescent="0.25">
      <c r="B3" s="3" t="s">
        <v>0</v>
      </c>
      <c r="C3" s="1" t="s">
        <v>1</v>
      </c>
      <c r="D3" s="2" t="s">
        <v>2</v>
      </c>
      <c r="E3" s="1" t="s">
        <v>25</v>
      </c>
      <c r="F3" s="1" t="s">
        <v>26</v>
      </c>
    </row>
    <row r="4" spans="1:18" x14ac:dyDescent="0.25">
      <c r="A4" t="s">
        <v>7</v>
      </c>
      <c r="B4" s="3">
        <v>45656</v>
      </c>
      <c r="C4" s="1" t="s">
        <v>3</v>
      </c>
      <c r="D4" s="2">
        <v>1060</v>
      </c>
      <c r="F4" s="6">
        <f t="shared" ref="F4:F81" si="0">D4+E4</f>
        <v>1060</v>
      </c>
      <c r="H4" s="7" t="s">
        <v>17</v>
      </c>
      <c r="J4" s="7" t="s">
        <v>14</v>
      </c>
      <c r="O4" s="15"/>
    </row>
    <row r="5" spans="1:18" x14ac:dyDescent="0.25">
      <c r="B5" s="3">
        <v>45656</v>
      </c>
      <c r="C5" s="1" t="s">
        <v>4</v>
      </c>
      <c r="D5" s="2">
        <v>1200</v>
      </c>
      <c r="F5" s="6">
        <f t="shared" si="0"/>
        <v>1200</v>
      </c>
      <c r="H5" s="8">
        <f>SUM(F4:F22)</f>
        <v>55884</v>
      </c>
      <c r="J5" s="5">
        <f>SUM(F9:F105)</f>
        <v>230203</v>
      </c>
      <c r="P5" t="s">
        <v>28</v>
      </c>
      <c r="Q5" s="10" t="s">
        <v>29</v>
      </c>
      <c r="R5" s="10" t="s">
        <v>30</v>
      </c>
    </row>
    <row r="6" spans="1:18" x14ac:dyDescent="0.25">
      <c r="B6" s="3">
        <v>45656</v>
      </c>
      <c r="C6" s="1" t="s">
        <v>22</v>
      </c>
      <c r="D6" s="2">
        <v>7257</v>
      </c>
      <c r="F6" s="6">
        <f t="shared" si="0"/>
        <v>7257</v>
      </c>
      <c r="O6" t="s">
        <v>3</v>
      </c>
      <c r="P6">
        <v>4</v>
      </c>
      <c r="Q6" s="10">
        <f>D4+D24+D44+D64</f>
        <v>8840</v>
      </c>
      <c r="R6" s="14">
        <f>Q6/P6</f>
        <v>2210</v>
      </c>
    </row>
    <row r="7" spans="1:18" x14ac:dyDescent="0.25">
      <c r="A7" t="s">
        <v>8</v>
      </c>
      <c r="B7" s="3">
        <v>45657</v>
      </c>
      <c r="C7" s="1" t="s">
        <v>4</v>
      </c>
      <c r="D7" s="2">
        <v>1560</v>
      </c>
      <c r="F7" s="6">
        <f t="shared" si="0"/>
        <v>1560</v>
      </c>
      <c r="O7" t="s">
        <v>4</v>
      </c>
      <c r="P7">
        <v>31</v>
      </c>
      <c r="Q7" s="10">
        <f>D5+D7+D9+D11+D13+D18+D21+D25+D27+D29+D31+D33+D37+D45+D47+D49+D51+D57+D65+D67+D69+D72+D75+D80+D85+D90+D93+D96+D99</f>
        <v>76707</v>
      </c>
      <c r="R7" s="14">
        <f>Q7/P7</f>
        <v>2474.4193548387098</v>
      </c>
    </row>
    <row r="8" spans="1:18" x14ac:dyDescent="0.25">
      <c r="B8" s="3">
        <v>45657</v>
      </c>
      <c r="C8" s="1" t="s">
        <v>22</v>
      </c>
      <c r="D8" s="2">
        <v>7589</v>
      </c>
      <c r="F8" s="6">
        <f t="shared" si="0"/>
        <v>7589</v>
      </c>
      <c r="O8" t="s">
        <v>16</v>
      </c>
      <c r="P8">
        <v>3</v>
      </c>
      <c r="Q8" s="10">
        <f>D14+D17+D17+D29+D34+D55+D79</f>
        <v>13581</v>
      </c>
      <c r="R8" s="14">
        <f t="shared" ref="R8:R12" si="1">Q8/P8</f>
        <v>4527</v>
      </c>
    </row>
    <row r="9" spans="1:18" x14ac:dyDescent="0.25">
      <c r="A9" t="s">
        <v>9</v>
      </c>
      <c r="B9" s="3">
        <v>45658</v>
      </c>
      <c r="C9" s="1" t="s">
        <v>4</v>
      </c>
      <c r="D9" s="2">
        <v>1760</v>
      </c>
      <c r="F9" s="6">
        <f t="shared" si="0"/>
        <v>1760</v>
      </c>
      <c r="O9" t="s">
        <v>6</v>
      </c>
      <c r="P9">
        <v>7</v>
      </c>
      <c r="Q9" s="10">
        <f>D16+D20+D36+D56+D60+D79</f>
        <v>12428</v>
      </c>
      <c r="R9" s="14">
        <f t="shared" si="1"/>
        <v>1775.4285714285713</v>
      </c>
    </row>
    <row r="10" spans="1:18" x14ac:dyDescent="0.25">
      <c r="B10" s="3">
        <v>45658</v>
      </c>
      <c r="C10" s="1" t="s">
        <v>22</v>
      </c>
      <c r="D10" s="2">
        <v>6813</v>
      </c>
      <c r="F10" s="6">
        <f t="shared" si="0"/>
        <v>6813</v>
      </c>
      <c r="O10" t="s">
        <v>15</v>
      </c>
      <c r="P10">
        <v>10</v>
      </c>
      <c r="Q10" s="10">
        <f>D15+D19+D22+D26+D48+D50+D52+D58+D76+D103</f>
        <v>10791</v>
      </c>
      <c r="R10" s="14">
        <f t="shared" si="1"/>
        <v>1079.0999999999999</v>
      </c>
    </row>
    <row r="11" spans="1:18" x14ac:dyDescent="0.25">
      <c r="A11" t="s">
        <v>21</v>
      </c>
      <c r="B11" s="3">
        <v>45659</v>
      </c>
      <c r="C11" s="1" t="s">
        <v>4</v>
      </c>
      <c r="D11" s="2">
        <v>1896</v>
      </c>
      <c r="F11" s="6">
        <f t="shared" si="0"/>
        <v>1896</v>
      </c>
      <c r="O11" t="s">
        <v>31</v>
      </c>
      <c r="P11">
        <v>10</v>
      </c>
      <c r="Q11" s="10">
        <f>D71+D74+D78+D83+D87+D92+D95+D98+D101+D105</f>
        <v>112074</v>
      </c>
      <c r="R11" s="12">
        <f t="shared" si="1"/>
        <v>11207.4</v>
      </c>
    </row>
    <row r="12" spans="1:18" x14ac:dyDescent="0.25">
      <c r="B12" s="3">
        <v>45659</v>
      </c>
      <c r="C12" s="1" t="s">
        <v>15</v>
      </c>
      <c r="D12" s="2">
        <v>0</v>
      </c>
      <c r="F12" s="6">
        <f t="shared" si="0"/>
        <v>0</v>
      </c>
      <c r="O12" t="s">
        <v>22</v>
      </c>
      <c r="P12">
        <v>3</v>
      </c>
      <c r="Q12" s="10">
        <f>D6+D8+D10</f>
        <v>21659</v>
      </c>
      <c r="R12" s="12">
        <f t="shared" si="1"/>
        <v>7219.666666666667</v>
      </c>
    </row>
    <row r="13" spans="1:18" x14ac:dyDescent="0.25">
      <c r="A13" t="s">
        <v>11</v>
      </c>
      <c r="B13" s="3">
        <v>45660</v>
      </c>
      <c r="C13" s="1" t="s">
        <v>4</v>
      </c>
      <c r="D13" s="2">
        <v>2686</v>
      </c>
      <c r="F13" s="6">
        <f t="shared" si="0"/>
        <v>2686</v>
      </c>
    </row>
    <row r="14" spans="1:18" x14ac:dyDescent="0.25">
      <c r="B14" s="3">
        <v>45660</v>
      </c>
      <c r="C14" s="1" t="s">
        <v>16</v>
      </c>
      <c r="D14" s="2">
        <v>3122</v>
      </c>
      <c r="F14" s="6">
        <f t="shared" si="0"/>
        <v>3122</v>
      </c>
    </row>
    <row r="15" spans="1:18" x14ac:dyDescent="0.25">
      <c r="B15" s="3">
        <v>45660</v>
      </c>
      <c r="C15" s="1" t="s">
        <v>15</v>
      </c>
      <c r="D15" s="2">
        <v>662</v>
      </c>
      <c r="F15" s="6">
        <f t="shared" si="0"/>
        <v>662</v>
      </c>
    </row>
    <row r="16" spans="1:18" x14ac:dyDescent="0.25">
      <c r="A16" t="s">
        <v>12</v>
      </c>
      <c r="B16" s="3">
        <v>45661</v>
      </c>
      <c r="C16" s="1" t="s">
        <v>6</v>
      </c>
      <c r="D16" s="2">
        <v>4032</v>
      </c>
      <c r="F16" s="6">
        <f t="shared" si="0"/>
        <v>4032</v>
      </c>
    </row>
    <row r="17" spans="1:8" x14ac:dyDescent="0.25">
      <c r="B17" s="3">
        <v>45661</v>
      </c>
      <c r="C17" s="1" t="s">
        <v>16</v>
      </c>
      <c r="D17" s="2">
        <v>3248</v>
      </c>
      <c r="F17" s="6">
        <f t="shared" si="0"/>
        <v>3248</v>
      </c>
    </row>
    <row r="18" spans="1:8" x14ac:dyDescent="0.25">
      <c r="B18" s="3">
        <v>45661</v>
      </c>
      <c r="C18" s="1" t="s">
        <v>4</v>
      </c>
      <c r="D18" s="2">
        <v>3925</v>
      </c>
      <c r="F18" s="6">
        <f t="shared" si="0"/>
        <v>3925</v>
      </c>
    </row>
    <row r="19" spans="1:8" x14ac:dyDescent="0.25">
      <c r="B19" s="3">
        <v>45661</v>
      </c>
      <c r="C19" s="1" t="s">
        <v>15</v>
      </c>
      <c r="D19" s="2">
        <v>873</v>
      </c>
      <c r="F19" s="6">
        <f t="shared" si="0"/>
        <v>873</v>
      </c>
    </row>
    <row r="20" spans="1:8" x14ac:dyDescent="0.25">
      <c r="A20" t="s">
        <v>13</v>
      </c>
      <c r="B20" s="3">
        <v>45662</v>
      </c>
      <c r="C20" s="1" t="s">
        <v>6</v>
      </c>
      <c r="D20" s="2">
        <v>3795</v>
      </c>
      <c r="F20" s="6">
        <f t="shared" si="0"/>
        <v>3795</v>
      </c>
    </row>
    <row r="21" spans="1:8" x14ac:dyDescent="0.25">
      <c r="B21" s="3">
        <v>45662</v>
      </c>
      <c r="C21" s="1" t="s">
        <v>4</v>
      </c>
      <c r="D21" s="2">
        <v>3728</v>
      </c>
      <c r="F21" s="6">
        <f t="shared" si="0"/>
        <v>3728</v>
      </c>
    </row>
    <row r="22" spans="1:8" x14ac:dyDescent="0.25">
      <c r="B22" s="3">
        <v>45662</v>
      </c>
      <c r="C22" s="1" t="s">
        <v>15</v>
      </c>
      <c r="D22" s="2">
        <v>678</v>
      </c>
      <c r="F22" s="6">
        <f t="shared" si="0"/>
        <v>678</v>
      </c>
    </row>
    <row r="23" spans="1:8" x14ac:dyDescent="0.25">
      <c r="F23" s="6"/>
    </row>
    <row r="24" spans="1:8" x14ac:dyDescent="0.25">
      <c r="A24" t="s">
        <v>7</v>
      </c>
      <c r="B24" s="3">
        <v>45663</v>
      </c>
      <c r="C24" s="1" t="s">
        <v>3</v>
      </c>
      <c r="D24" s="2">
        <v>2670</v>
      </c>
      <c r="F24" s="6">
        <f t="shared" si="0"/>
        <v>2670</v>
      </c>
      <c r="H24" s="7" t="s">
        <v>18</v>
      </c>
    </row>
    <row r="25" spans="1:8" x14ac:dyDescent="0.25">
      <c r="B25" s="3">
        <v>45663</v>
      </c>
      <c r="C25" s="1" t="s">
        <v>4</v>
      </c>
      <c r="D25" s="2">
        <v>4027</v>
      </c>
      <c r="F25" s="6">
        <f t="shared" si="0"/>
        <v>4027</v>
      </c>
      <c r="H25" s="8">
        <f>SUM(F24:F42)</f>
        <v>31383</v>
      </c>
    </row>
    <row r="26" spans="1:8" x14ac:dyDescent="0.25">
      <c r="B26" s="3">
        <v>45663</v>
      </c>
      <c r="C26" s="1" t="s">
        <v>15</v>
      </c>
      <c r="D26" s="2">
        <v>485</v>
      </c>
      <c r="F26" s="6">
        <f t="shared" si="0"/>
        <v>485</v>
      </c>
    </row>
    <row r="27" spans="1:8" x14ac:dyDescent="0.25">
      <c r="A27" t="s">
        <v>8</v>
      </c>
      <c r="B27" s="3">
        <v>45664</v>
      </c>
      <c r="C27" s="1" t="s">
        <v>4</v>
      </c>
      <c r="D27" s="2">
        <v>3747</v>
      </c>
      <c r="F27" s="6">
        <f t="shared" si="0"/>
        <v>3747</v>
      </c>
    </row>
    <row r="28" spans="1:8" x14ac:dyDescent="0.25">
      <c r="B28" s="3">
        <v>45664</v>
      </c>
      <c r="C28" s="1" t="s">
        <v>15</v>
      </c>
      <c r="F28" s="6">
        <f t="shared" si="0"/>
        <v>0</v>
      </c>
    </row>
    <row r="29" spans="1:8" x14ac:dyDescent="0.25">
      <c r="A29" t="s">
        <v>9</v>
      </c>
      <c r="B29" s="3">
        <v>45665</v>
      </c>
      <c r="C29" s="1" t="s">
        <v>4</v>
      </c>
      <c r="D29" s="2">
        <v>3388</v>
      </c>
      <c r="F29" s="6">
        <f t="shared" si="0"/>
        <v>3388</v>
      </c>
    </row>
    <row r="30" spans="1:8" x14ac:dyDescent="0.25">
      <c r="B30" s="3">
        <v>45665</v>
      </c>
      <c r="C30" s="1" t="s">
        <v>15</v>
      </c>
      <c r="D30" s="2">
        <v>0</v>
      </c>
      <c r="F30" s="6">
        <f>D30+E30</f>
        <v>0</v>
      </c>
    </row>
    <row r="31" spans="1:8" x14ac:dyDescent="0.25">
      <c r="A31" t="s">
        <v>21</v>
      </c>
      <c r="B31" s="3">
        <v>45666</v>
      </c>
      <c r="C31" s="1" t="s">
        <v>4</v>
      </c>
      <c r="D31" s="2">
        <v>4808</v>
      </c>
      <c r="F31" s="6">
        <f t="shared" si="0"/>
        <v>4808</v>
      </c>
    </row>
    <row r="32" spans="1:8" x14ac:dyDescent="0.25">
      <c r="B32" s="3">
        <v>45666</v>
      </c>
      <c r="C32" s="1" t="s">
        <v>15</v>
      </c>
      <c r="D32" s="2">
        <v>0</v>
      </c>
      <c r="F32" s="6">
        <f t="shared" si="0"/>
        <v>0</v>
      </c>
    </row>
    <row r="33" spans="1:8" x14ac:dyDescent="0.25">
      <c r="A33" t="s">
        <v>11</v>
      </c>
      <c r="B33" s="3">
        <v>45667</v>
      </c>
      <c r="C33" s="1" t="s">
        <v>4</v>
      </c>
      <c r="D33" s="2">
        <v>5283</v>
      </c>
      <c r="F33" s="6">
        <f t="shared" si="0"/>
        <v>5283</v>
      </c>
    </row>
    <row r="34" spans="1:8" x14ac:dyDescent="0.25">
      <c r="B34" s="3">
        <v>45667</v>
      </c>
      <c r="C34" s="1" t="s">
        <v>16</v>
      </c>
      <c r="D34" s="2">
        <v>0</v>
      </c>
      <c r="F34" s="6">
        <f t="shared" si="0"/>
        <v>0</v>
      </c>
    </row>
    <row r="35" spans="1:8" x14ac:dyDescent="0.25">
      <c r="B35" s="3">
        <v>45667</v>
      </c>
      <c r="C35" s="1" t="s">
        <v>15</v>
      </c>
      <c r="D35" s="2">
        <v>0</v>
      </c>
      <c r="F35" s="6">
        <f t="shared" si="0"/>
        <v>0</v>
      </c>
    </row>
    <row r="36" spans="1:8" x14ac:dyDescent="0.25">
      <c r="A36" t="s">
        <v>12</v>
      </c>
      <c r="B36" s="3">
        <v>45668</v>
      </c>
      <c r="C36" s="1" t="s">
        <v>6</v>
      </c>
      <c r="D36" s="2">
        <v>1540</v>
      </c>
      <c r="F36" s="6">
        <f t="shared" si="0"/>
        <v>1540</v>
      </c>
    </row>
    <row r="37" spans="1:8" x14ac:dyDescent="0.25">
      <c r="B37" s="3">
        <v>45668</v>
      </c>
      <c r="C37" s="1" t="s">
        <v>4</v>
      </c>
      <c r="D37" s="2">
        <v>5435</v>
      </c>
      <c r="F37" s="6">
        <f t="shared" si="0"/>
        <v>5435</v>
      </c>
    </row>
    <row r="38" spans="1:8" x14ac:dyDescent="0.25">
      <c r="B38" s="3">
        <v>45668</v>
      </c>
      <c r="C38" s="1" t="s">
        <v>16</v>
      </c>
      <c r="D38" s="2">
        <v>0</v>
      </c>
      <c r="F38" s="6">
        <f t="shared" si="0"/>
        <v>0</v>
      </c>
    </row>
    <row r="39" spans="1:8" x14ac:dyDescent="0.25">
      <c r="B39" s="3">
        <v>45668</v>
      </c>
      <c r="C39" s="1" t="s">
        <v>15</v>
      </c>
      <c r="D39" s="2">
        <v>0</v>
      </c>
      <c r="F39" s="6">
        <f t="shared" si="0"/>
        <v>0</v>
      </c>
    </row>
    <row r="40" spans="1:8" x14ac:dyDescent="0.25">
      <c r="A40" t="s">
        <v>13</v>
      </c>
      <c r="B40" s="3">
        <v>45669</v>
      </c>
      <c r="C40" s="1" t="s">
        <v>6</v>
      </c>
      <c r="D40" s="2">
        <v>0</v>
      </c>
      <c r="F40" s="6">
        <f t="shared" si="0"/>
        <v>0</v>
      </c>
    </row>
    <row r="41" spans="1:8" x14ac:dyDescent="0.25">
      <c r="B41" s="3">
        <v>45669</v>
      </c>
      <c r="C41" s="1" t="s">
        <v>4</v>
      </c>
      <c r="D41" s="2">
        <v>0</v>
      </c>
      <c r="F41" s="6">
        <f t="shared" si="0"/>
        <v>0</v>
      </c>
    </row>
    <row r="42" spans="1:8" x14ac:dyDescent="0.25">
      <c r="B42" s="3">
        <v>45669</v>
      </c>
      <c r="C42" s="1" t="s">
        <v>15</v>
      </c>
      <c r="D42" s="2">
        <v>0</v>
      </c>
      <c r="F42" s="6">
        <f t="shared" si="0"/>
        <v>0</v>
      </c>
    </row>
    <row r="43" spans="1:8" x14ac:dyDescent="0.25">
      <c r="F43" s="6"/>
    </row>
    <row r="44" spans="1:8" x14ac:dyDescent="0.25">
      <c r="A44" t="s">
        <v>7</v>
      </c>
      <c r="B44" s="3">
        <v>45670</v>
      </c>
      <c r="C44" s="1" t="s">
        <v>3</v>
      </c>
      <c r="D44" s="2">
        <v>2256</v>
      </c>
      <c r="F44" s="6">
        <f t="shared" si="0"/>
        <v>2256</v>
      </c>
      <c r="H44" s="7" t="s">
        <v>19</v>
      </c>
    </row>
    <row r="45" spans="1:8" x14ac:dyDescent="0.25">
      <c r="B45" s="3">
        <v>45670</v>
      </c>
      <c r="C45" s="1" t="s">
        <v>4</v>
      </c>
      <c r="D45" s="2">
        <v>3886</v>
      </c>
      <c r="F45" s="6">
        <f t="shared" si="0"/>
        <v>3886</v>
      </c>
      <c r="H45" s="9">
        <f>SUM(F44:F62)</f>
        <v>25995</v>
      </c>
    </row>
    <row r="46" spans="1:8" x14ac:dyDescent="0.25">
      <c r="B46" s="3">
        <v>45670</v>
      </c>
      <c r="C46" s="1" t="s">
        <v>15</v>
      </c>
      <c r="D46" s="2">
        <v>0</v>
      </c>
      <c r="F46" s="6">
        <f t="shared" si="0"/>
        <v>0</v>
      </c>
    </row>
    <row r="47" spans="1:8" x14ac:dyDescent="0.25">
      <c r="A47" t="s">
        <v>8</v>
      </c>
      <c r="B47" s="3">
        <v>45671</v>
      </c>
      <c r="C47" s="1" t="s">
        <v>4</v>
      </c>
      <c r="D47" s="2">
        <v>3639</v>
      </c>
      <c r="F47" s="6">
        <f t="shared" si="0"/>
        <v>3639</v>
      </c>
    </row>
    <row r="48" spans="1:8" x14ac:dyDescent="0.25">
      <c r="B48" s="3">
        <v>45671</v>
      </c>
      <c r="C48" s="1" t="s">
        <v>15</v>
      </c>
      <c r="D48" s="2">
        <v>593</v>
      </c>
      <c r="F48" s="6">
        <f t="shared" si="0"/>
        <v>593</v>
      </c>
    </row>
    <row r="49" spans="1:8" x14ac:dyDescent="0.25">
      <c r="A49" t="s">
        <v>9</v>
      </c>
      <c r="B49" s="3">
        <v>45672</v>
      </c>
      <c r="C49" s="1" t="s">
        <v>20</v>
      </c>
      <c r="D49" s="2">
        <v>3847</v>
      </c>
      <c r="F49" s="6">
        <f t="shared" si="0"/>
        <v>3847</v>
      </c>
    </row>
    <row r="50" spans="1:8" x14ac:dyDescent="0.25">
      <c r="B50" s="3">
        <v>45672</v>
      </c>
      <c r="C50" s="1" t="s">
        <v>15</v>
      </c>
      <c r="D50" s="2">
        <v>399</v>
      </c>
      <c r="F50" s="6">
        <f t="shared" si="0"/>
        <v>399</v>
      </c>
    </row>
    <row r="51" spans="1:8" x14ac:dyDescent="0.25">
      <c r="A51" t="s">
        <v>21</v>
      </c>
      <c r="B51" s="3">
        <v>45673</v>
      </c>
      <c r="C51" s="1" t="s">
        <v>4</v>
      </c>
      <c r="D51" s="2">
        <v>2330</v>
      </c>
      <c r="F51" s="6">
        <f t="shared" si="0"/>
        <v>2330</v>
      </c>
    </row>
    <row r="52" spans="1:8" x14ac:dyDescent="0.25">
      <c r="B52" s="3">
        <v>45673</v>
      </c>
      <c r="C52" s="1" t="s">
        <v>15</v>
      </c>
      <c r="D52" s="2">
        <v>2678</v>
      </c>
      <c r="F52" s="6">
        <f t="shared" si="0"/>
        <v>2678</v>
      </c>
    </row>
    <row r="53" spans="1:8" x14ac:dyDescent="0.25">
      <c r="A53" t="s">
        <v>11</v>
      </c>
      <c r="B53" s="3">
        <v>45674</v>
      </c>
      <c r="C53" s="1" t="s">
        <v>4</v>
      </c>
      <c r="F53" s="6">
        <f t="shared" si="0"/>
        <v>0</v>
      </c>
    </row>
    <row r="54" spans="1:8" x14ac:dyDescent="0.25">
      <c r="B54" s="3">
        <v>45674</v>
      </c>
      <c r="C54" s="1" t="s">
        <v>15</v>
      </c>
      <c r="F54" s="6">
        <f t="shared" si="0"/>
        <v>0</v>
      </c>
    </row>
    <row r="55" spans="1:8" x14ac:dyDescent="0.25">
      <c r="B55" s="3">
        <v>45674</v>
      </c>
      <c r="C55" s="1" t="s">
        <v>16</v>
      </c>
      <c r="D55" s="2">
        <v>0</v>
      </c>
      <c r="F55" s="6">
        <f t="shared" si="0"/>
        <v>0</v>
      </c>
    </row>
    <row r="56" spans="1:8" x14ac:dyDescent="0.25">
      <c r="A56" t="s">
        <v>12</v>
      </c>
      <c r="B56" s="3">
        <v>45675</v>
      </c>
      <c r="C56" s="1" t="s">
        <v>6</v>
      </c>
      <c r="D56" s="2">
        <v>2486</v>
      </c>
      <c r="F56" s="6">
        <f t="shared" si="0"/>
        <v>2486</v>
      </c>
    </row>
    <row r="57" spans="1:8" x14ac:dyDescent="0.25">
      <c r="B57" s="3">
        <v>45675</v>
      </c>
      <c r="C57" s="1" t="s">
        <v>4</v>
      </c>
      <c r="D57" s="2">
        <v>1476</v>
      </c>
      <c r="F57" s="6">
        <f t="shared" si="0"/>
        <v>1476</v>
      </c>
    </row>
    <row r="58" spans="1:8" x14ac:dyDescent="0.25">
      <c r="B58" s="3">
        <v>45675</v>
      </c>
      <c r="C58" s="1" t="s">
        <v>15</v>
      </c>
      <c r="D58" s="2">
        <v>2405</v>
      </c>
      <c r="F58" s="6">
        <f t="shared" si="0"/>
        <v>2405</v>
      </c>
    </row>
    <row r="59" spans="1:8" x14ac:dyDescent="0.25">
      <c r="B59" s="3">
        <v>45675</v>
      </c>
      <c r="C59" s="1" t="s">
        <v>16</v>
      </c>
      <c r="D59" s="2">
        <v>0</v>
      </c>
      <c r="F59" s="6">
        <f t="shared" si="0"/>
        <v>0</v>
      </c>
    </row>
    <row r="60" spans="1:8" x14ac:dyDescent="0.25">
      <c r="A60" t="s">
        <v>13</v>
      </c>
      <c r="B60" s="3">
        <v>45676</v>
      </c>
      <c r="C60" s="1" t="s">
        <v>6</v>
      </c>
      <c r="F60" s="6">
        <f t="shared" si="0"/>
        <v>0</v>
      </c>
    </row>
    <row r="61" spans="1:8" x14ac:dyDescent="0.25">
      <c r="B61" s="3">
        <v>45676</v>
      </c>
      <c r="C61" s="1" t="s">
        <v>4</v>
      </c>
      <c r="F61" s="6">
        <f t="shared" si="0"/>
        <v>0</v>
      </c>
    </row>
    <row r="62" spans="1:8" x14ac:dyDescent="0.25">
      <c r="B62" s="3">
        <v>45676</v>
      </c>
      <c r="C62" s="1" t="s">
        <v>15</v>
      </c>
      <c r="F62" s="6">
        <f t="shared" si="0"/>
        <v>0</v>
      </c>
    </row>
    <row r="63" spans="1:8" x14ac:dyDescent="0.25">
      <c r="F63" s="6"/>
    </row>
    <row r="64" spans="1:8" x14ac:dyDescent="0.25">
      <c r="A64" t="s">
        <v>7</v>
      </c>
      <c r="B64" s="3">
        <v>45677</v>
      </c>
      <c r="C64" s="1" t="s">
        <v>3</v>
      </c>
      <c r="D64" s="2">
        <v>2854</v>
      </c>
      <c r="F64" s="6">
        <f t="shared" si="0"/>
        <v>2854</v>
      </c>
      <c r="H64" s="7" t="s">
        <v>23</v>
      </c>
    </row>
    <row r="65" spans="1:8" x14ac:dyDescent="0.25">
      <c r="B65" s="3">
        <v>45677</v>
      </c>
      <c r="C65" s="1" t="s">
        <v>4</v>
      </c>
      <c r="D65" s="2">
        <v>2083</v>
      </c>
      <c r="F65" s="6">
        <f t="shared" si="0"/>
        <v>2083</v>
      </c>
      <c r="H65" s="8">
        <f>SUM(F64:F87)</f>
        <v>72469</v>
      </c>
    </row>
    <row r="66" spans="1:8" x14ac:dyDescent="0.25">
      <c r="B66" s="3">
        <v>45677</v>
      </c>
      <c r="C66" s="1" t="s">
        <v>15</v>
      </c>
      <c r="D66" s="2">
        <v>0</v>
      </c>
      <c r="F66" s="6">
        <f t="shared" si="0"/>
        <v>0</v>
      </c>
    </row>
    <row r="67" spans="1:8" x14ac:dyDescent="0.25">
      <c r="A67" t="s">
        <v>8</v>
      </c>
      <c r="B67" s="3">
        <v>45678</v>
      </c>
      <c r="C67" s="1" t="s">
        <v>4</v>
      </c>
      <c r="D67" s="2">
        <v>1925</v>
      </c>
      <c r="F67" s="6">
        <f t="shared" si="0"/>
        <v>1925</v>
      </c>
    </row>
    <row r="68" spans="1:8" x14ac:dyDescent="0.25">
      <c r="B68" s="3">
        <v>45678</v>
      </c>
      <c r="C68" s="1" t="s">
        <v>15</v>
      </c>
      <c r="D68" s="2">
        <v>0</v>
      </c>
      <c r="F68" s="6">
        <f t="shared" si="0"/>
        <v>0</v>
      </c>
    </row>
    <row r="69" spans="1:8" x14ac:dyDescent="0.25">
      <c r="A69" t="s">
        <v>9</v>
      </c>
      <c r="B69" s="3">
        <v>45679</v>
      </c>
      <c r="C69" s="1" t="s">
        <v>4</v>
      </c>
      <c r="D69" s="2">
        <v>1757</v>
      </c>
      <c r="F69" s="6">
        <f t="shared" si="0"/>
        <v>1757</v>
      </c>
    </row>
    <row r="70" spans="1:8" x14ac:dyDescent="0.25">
      <c r="B70" s="3">
        <v>45679</v>
      </c>
      <c r="C70" s="1" t="s">
        <v>15</v>
      </c>
      <c r="D70" s="2">
        <v>0</v>
      </c>
      <c r="F70" s="6">
        <f t="shared" si="0"/>
        <v>0</v>
      </c>
    </row>
    <row r="71" spans="1:8" x14ac:dyDescent="0.25">
      <c r="B71" s="3">
        <v>45679</v>
      </c>
      <c r="C71" s="1" t="s">
        <v>27</v>
      </c>
      <c r="D71" s="2">
        <v>9527</v>
      </c>
      <c r="F71" s="6">
        <f t="shared" si="0"/>
        <v>9527</v>
      </c>
    </row>
    <row r="72" spans="1:8" x14ac:dyDescent="0.25">
      <c r="A72" t="s">
        <v>21</v>
      </c>
      <c r="B72" s="3">
        <v>45680</v>
      </c>
      <c r="C72" s="1" t="s">
        <v>4</v>
      </c>
      <c r="D72" s="2">
        <v>1442</v>
      </c>
      <c r="F72" s="6">
        <f t="shared" si="0"/>
        <v>1442</v>
      </c>
    </row>
    <row r="73" spans="1:8" x14ac:dyDescent="0.25">
      <c r="B73" s="3">
        <v>45680</v>
      </c>
      <c r="C73" s="1" t="s">
        <v>15</v>
      </c>
      <c r="D73" s="2">
        <v>0</v>
      </c>
      <c r="F73" s="6">
        <f t="shared" si="0"/>
        <v>0</v>
      </c>
    </row>
    <row r="74" spans="1:8" x14ac:dyDescent="0.25">
      <c r="B74" s="3">
        <v>45680</v>
      </c>
      <c r="C74" s="1" t="s">
        <v>27</v>
      </c>
      <c r="D74" s="2">
        <v>7427</v>
      </c>
      <c r="F74" s="6">
        <f t="shared" si="0"/>
        <v>7427</v>
      </c>
    </row>
    <row r="75" spans="1:8" x14ac:dyDescent="0.25">
      <c r="A75" t="s">
        <v>11</v>
      </c>
      <c r="B75" s="3">
        <v>45681</v>
      </c>
      <c r="C75" s="1" t="s">
        <v>4</v>
      </c>
      <c r="D75" s="2">
        <v>2469</v>
      </c>
      <c r="F75" s="6">
        <f t="shared" si="0"/>
        <v>2469</v>
      </c>
    </row>
    <row r="76" spans="1:8" x14ac:dyDescent="0.25">
      <c r="B76" s="3">
        <v>45681</v>
      </c>
      <c r="C76" s="1" t="s">
        <v>15</v>
      </c>
      <c r="D76" s="2">
        <v>783</v>
      </c>
      <c r="F76" s="6">
        <f t="shared" si="0"/>
        <v>783</v>
      </c>
    </row>
    <row r="77" spans="1:8" x14ac:dyDescent="0.25">
      <c r="B77" s="3">
        <v>45681</v>
      </c>
      <c r="C77" s="1" t="s">
        <v>16</v>
      </c>
      <c r="D77" s="2">
        <v>0</v>
      </c>
      <c r="F77" s="6">
        <f t="shared" si="0"/>
        <v>0</v>
      </c>
    </row>
    <row r="78" spans="1:8" x14ac:dyDescent="0.25">
      <c r="B78" s="3">
        <v>45681</v>
      </c>
      <c r="C78" s="1" t="s">
        <v>27</v>
      </c>
      <c r="D78" s="2">
        <v>9886</v>
      </c>
      <c r="F78" s="6">
        <f t="shared" si="0"/>
        <v>9886</v>
      </c>
    </row>
    <row r="79" spans="1:8" x14ac:dyDescent="0.25">
      <c r="A79" t="s">
        <v>12</v>
      </c>
      <c r="B79" s="3">
        <v>45682</v>
      </c>
      <c r="C79" s="1" t="s">
        <v>6</v>
      </c>
      <c r="D79" s="2">
        <v>575</v>
      </c>
      <c r="F79" s="6">
        <f t="shared" si="0"/>
        <v>575</v>
      </c>
    </row>
    <row r="80" spans="1:8" x14ac:dyDescent="0.25">
      <c r="B80" s="3">
        <v>45682</v>
      </c>
      <c r="C80" s="1" t="s">
        <v>4</v>
      </c>
      <c r="D80" s="2">
        <v>1274</v>
      </c>
      <c r="F80" s="6">
        <f t="shared" si="0"/>
        <v>1274</v>
      </c>
    </row>
    <row r="81" spans="1:8" x14ac:dyDescent="0.25">
      <c r="B81" s="3">
        <v>45682</v>
      </c>
      <c r="C81" s="1" t="s">
        <v>15</v>
      </c>
      <c r="D81" s="2">
        <v>0</v>
      </c>
      <c r="F81" s="6">
        <f t="shared" si="0"/>
        <v>0</v>
      </c>
    </row>
    <row r="82" spans="1:8" x14ac:dyDescent="0.25">
      <c r="B82" s="3">
        <v>45682</v>
      </c>
      <c r="C82" s="1" t="s">
        <v>16</v>
      </c>
      <c r="D82" s="2">
        <v>0</v>
      </c>
      <c r="F82" s="6">
        <f t="shared" ref="F82:F105" si="2">D82+E82</f>
        <v>0</v>
      </c>
    </row>
    <row r="83" spans="1:8" x14ac:dyDescent="0.25">
      <c r="B83" s="3">
        <v>45682</v>
      </c>
      <c r="C83" s="1" t="s">
        <v>27</v>
      </c>
      <c r="D83" s="2">
        <v>11862</v>
      </c>
      <c r="F83" s="6">
        <f t="shared" si="2"/>
        <v>11862</v>
      </c>
    </row>
    <row r="84" spans="1:8" x14ac:dyDescent="0.25">
      <c r="A84" t="s">
        <v>13</v>
      </c>
      <c r="B84" s="3">
        <v>45683</v>
      </c>
      <c r="C84" s="1" t="s">
        <v>6</v>
      </c>
      <c r="D84" s="2">
        <v>0</v>
      </c>
      <c r="F84" s="6">
        <f t="shared" si="2"/>
        <v>0</v>
      </c>
    </row>
    <row r="85" spans="1:8" x14ac:dyDescent="0.25">
      <c r="B85" s="3">
        <v>45683</v>
      </c>
      <c r="C85" s="1" t="s">
        <v>4</v>
      </c>
      <c r="D85" s="2">
        <v>2144</v>
      </c>
      <c r="F85" s="6">
        <f t="shared" si="2"/>
        <v>2144</v>
      </c>
    </row>
    <row r="86" spans="1:8" x14ac:dyDescent="0.25">
      <c r="B86" s="3">
        <v>45683</v>
      </c>
      <c r="C86" s="1" t="s">
        <v>15</v>
      </c>
      <c r="D86" s="2">
        <v>0</v>
      </c>
      <c r="F86" s="6">
        <f t="shared" si="2"/>
        <v>0</v>
      </c>
    </row>
    <row r="87" spans="1:8" x14ac:dyDescent="0.25">
      <c r="B87" s="3">
        <v>45683</v>
      </c>
      <c r="C87" s="1" t="s">
        <v>27</v>
      </c>
      <c r="D87" s="2">
        <v>16461</v>
      </c>
      <c r="F87" s="6">
        <f t="shared" si="2"/>
        <v>16461</v>
      </c>
    </row>
    <row r="88" spans="1:8" x14ac:dyDescent="0.25">
      <c r="F88" s="6"/>
    </row>
    <row r="89" spans="1:8" x14ac:dyDescent="0.25">
      <c r="A89" t="s">
        <v>7</v>
      </c>
      <c r="B89" s="3">
        <v>45684</v>
      </c>
      <c r="C89" s="1" t="s">
        <v>3</v>
      </c>
      <c r="D89" s="2">
        <v>0</v>
      </c>
      <c r="F89" s="6">
        <f t="shared" si="2"/>
        <v>0</v>
      </c>
      <c r="H89" s="7" t="s">
        <v>24</v>
      </c>
    </row>
    <row r="90" spans="1:8" x14ac:dyDescent="0.25">
      <c r="B90" s="3">
        <v>45684</v>
      </c>
      <c r="C90" s="1" t="s">
        <v>4</v>
      </c>
      <c r="D90" s="2">
        <v>1260</v>
      </c>
      <c r="F90" s="6">
        <f t="shared" si="2"/>
        <v>1260</v>
      </c>
      <c r="H90" s="8">
        <f>SUM(F89:F112)</f>
        <v>63138</v>
      </c>
    </row>
    <row r="91" spans="1:8" x14ac:dyDescent="0.25">
      <c r="B91" s="3">
        <v>45684</v>
      </c>
      <c r="C91" s="1" t="s">
        <v>15</v>
      </c>
      <c r="D91" s="2">
        <v>0</v>
      </c>
      <c r="F91" s="6">
        <f t="shared" si="2"/>
        <v>0</v>
      </c>
    </row>
    <row r="92" spans="1:8" x14ac:dyDescent="0.25">
      <c r="B92" s="3">
        <v>45684</v>
      </c>
      <c r="C92" s="1" t="s">
        <v>27</v>
      </c>
      <c r="D92" s="2">
        <v>10561</v>
      </c>
      <c r="F92" s="6">
        <f t="shared" si="2"/>
        <v>10561</v>
      </c>
    </row>
    <row r="93" spans="1:8" x14ac:dyDescent="0.25">
      <c r="A93" t="s">
        <v>8</v>
      </c>
      <c r="B93" s="3">
        <v>45685</v>
      </c>
      <c r="C93" s="1" t="s">
        <v>4</v>
      </c>
      <c r="D93" s="2">
        <v>1569</v>
      </c>
      <c r="F93" s="6">
        <f t="shared" si="2"/>
        <v>1569</v>
      </c>
    </row>
    <row r="94" spans="1:8" x14ac:dyDescent="0.25">
      <c r="B94" s="3">
        <v>45685</v>
      </c>
      <c r="C94" s="1" t="s">
        <v>15</v>
      </c>
      <c r="D94" s="2">
        <v>0</v>
      </c>
      <c r="F94" s="6">
        <f t="shared" si="2"/>
        <v>0</v>
      </c>
    </row>
    <row r="95" spans="1:8" x14ac:dyDescent="0.25">
      <c r="B95" s="3">
        <v>45685</v>
      </c>
      <c r="C95" s="1" t="s">
        <v>27</v>
      </c>
      <c r="D95" s="2">
        <v>10012</v>
      </c>
      <c r="F95" s="6">
        <f t="shared" si="2"/>
        <v>10012</v>
      </c>
    </row>
    <row r="96" spans="1:8" x14ac:dyDescent="0.25">
      <c r="A96" t="s">
        <v>9</v>
      </c>
      <c r="B96" s="3">
        <v>45686</v>
      </c>
      <c r="C96" s="1" t="s">
        <v>4</v>
      </c>
      <c r="D96" s="2">
        <v>1158</v>
      </c>
      <c r="F96" s="6">
        <f t="shared" si="2"/>
        <v>1158</v>
      </c>
    </row>
    <row r="97" spans="1:6" x14ac:dyDescent="0.25">
      <c r="B97" s="3">
        <v>45686</v>
      </c>
      <c r="C97" s="1" t="s">
        <v>15</v>
      </c>
      <c r="D97" s="2">
        <v>0</v>
      </c>
      <c r="F97" s="6">
        <f t="shared" si="2"/>
        <v>0</v>
      </c>
    </row>
    <row r="98" spans="1:6" x14ac:dyDescent="0.25">
      <c r="B98" s="3">
        <v>45686</v>
      </c>
      <c r="C98" s="1" t="s">
        <v>27</v>
      </c>
      <c r="D98" s="2">
        <v>11668</v>
      </c>
      <c r="F98" s="6">
        <f t="shared" si="2"/>
        <v>11668</v>
      </c>
    </row>
    <row r="99" spans="1:6" x14ac:dyDescent="0.25">
      <c r="A99" t="s">
        <v>21</v>
      </c>
      <c r="B99" s="3">
        <v>45687</v>
      </c>
      <c r="C99" s="1" t="s">
        <v>4</v>
      </c>
      <c r="D99" s="2">
        <v>1005</v>
      </c>
      <c r="F99" s="6">
        <f t="shared" si="2"/>
        <v>1005</v>
      </c>
    </row>
    <row r="100" spans="1:6" x14ac:dyDescent="0.25">
      <c r="B100" s="3">
        <v>45687</v>
      </c>
      <c r="C100" s="1" t="s">
        <v>15</v>
      </c>
      <c r="F100" s="6">
        <f t="shared" si="2"/>
        <v>0</v>
      </c>
    </row>
    <row r="101" spans="1:6" x14ac:dyDescent="0.25">
      <c r="B101" s="3">
        <v>45687</v>
      </c>
      <c r="C101" s="1" t="s">
        <v>27</v>
      </c>
      <c r="D101" s="2">
        <v>8889</v>
      </c>
      <c r="F101" s="6">
        <f t="shared" si="2"/>
        <v>8889</v>
      </c>
    </row>
    <row r="102" spans="1:6" x14ac:dyDescent="0.25">
      <c r="A102" t="s">
        <v>11</v>
      </c>
      <c r="B102" s="3">
        <v>45688</v>
      </c>
      <c r="C102" s="1" t="s">
        <v>4</v>
      </c>
      <c r="F102" s="6">
        <f t="shared" si="2"/>
        <v>0</v>
      </c>
    </row>
    <row r="103" spans="1:6" x14ac:dyDescent="0.25">
      <c r="B103" s="3">
        <v>45688</v>
      </c>
      <c r="C103" s="1" t="s">
        <v>15</v>
      </c>
      <c r="D103" s="2">
        <v>1235</v>
      </c>
      <c r="F103" s="6">
        <f t="shared" si="2"/>
        <v>1235</v>
      </c>
    </row>
    <row r="104" spans="1:6" x14ac:dyDescent="0.25">
      <c r="B104" s="3">
        <v>45688</v>
      </c>
      <c r="C104" s="1" t="s">
        <v>16</v>
      </c>
      <c r="D104" s="2">
        <v>0</v>
      </c>
      <c r="F104" s="6">
        <f t="shared" si="2"/>
        <v>0</v>
      </c>
    </row>
    <row r="105" spans="1:6" x14ac:dyDescent="0.25">
      <c r="B105" s="3">
        <v>45688</v>
      </c>
      <c r="C105" s="1" t="s">
        <v>27</v>
      </c>
      <c r="D105" s="2">
        <v>15781</v>
      </c>
      <c r="F105" s="6">
        <f t="shared" si="2"/>
        <v>15781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0C52D-E322-8A4A-A957-73C51D40E1EE}">
  <sheetPr>
    <tabColor theme="7" tint="0.39997558519241921"/>
  </sheetPr>
  <dimension ref="A3:R88"/>
  <sheetViews>
    <sheetView workbookViewId="0">
      <selection activeCell="B67" sqref="B67"/>
    </sheetView>
  </sheetViews>
  <sheetFormatPr baseColWidth="10" defaultRowHeight="19" x14ac:dyDescent="0.25"/>
  <cols>
    <col min="2" max="2" width="13.6640625" style="3" customWidth="1"/>
    <col min="3" max="3" width="19.83203125" style="1" customWidth="1"/>
    <col min="4" max="4" width="10.83203125" style="2"/>
    <col min="5" max="6" width="10.83203125" style="1"/>
    <col min="10" max="10" width="13.6640625" customWidth="1"/>
  </cols>
  <sheetData>
    <row r="3" spans="1:18" x14ac:dyDescent="0.25">
      <c r="B3" s="3" t="s">
        <v>0</v>
      </c>
      <c r="C3" s="1" t="s">
        <v>1</v>
      </c>
      <c r="D3" s="2" t="s">
        <v>2</v>
      </c>
      <c r="E3" s="1" t="s">
        <v>25</v>
      </c>
      <c r="F3" s="1" t="s">
        <v>26</v>
      </c>
    </row>
    <row r="4" spans="1:18" x14ac:dyDescent="0.25">
      <c r="A4" t="s">
        <v>7</v>
      </c>
      <c r="F4" s="6"/>
      <c r="H4" s="7" t="s">
        <v>17</v>
      </c>
      <c r="J4" s="7" t="s">
        <v>14</v>
      </c>
      <c r="O4" s="15"/>
    </row>
    <row r="5" spans="1:18" x14ac:dyDescent="0.25">
      <c r="F5" s="6"/>
      <c r="H5" s="8">
        <f>SUM(F5:F24)</f>
        <v>27724</v>
      </c>
      <c r="J5" s="5">
        <f>SUM(F9:F88)</f>
        <v>132712</v>
      </c>
      <c r="P5" t="s">
        <v>28</v>
      </c>
      <c r="Q5" s="10" t="s">
        <v>29</v>
      </c>
      <c r="R5" s="10" t="s">
        <v>30</v>
      </c>
    </row>
    <row r="6" spans="1:18" x14ac:dyDescent="0.25">
      <c r="F6" s="6"/>
      <c r="O6" t="s">
        <v>3</v>
      </c>
      <c r="P6">
        <v>3</v>
      </c>
      <c r="Q6" s="10" t="e">
        <f>D6+D21+D41+#REF!</f>
        <v>#REF!</v>
      </c>
      <c r="R6" s="14" t="e">
        <f>Q6/P6</f>
        <v>#REF!</v>
      </c>
    </row>
    <row r="7" spans="1:18" x14ac:dyDescent="0.25">
      <c r="A7" t="s">
        <v>8</v>
      </c>
      <c r="F7" s="6"/>
      <c r="O7" t="s">
        <v>4</v>
      </c>
      <c r="P7">
        <v>31</v>
      </c>
      <c r="Q7" s="10" t="e">
        <f>D4+D7+D8+D9+D10+D12+D15+D17+D22+D25+D27+D28+D30+D34+D38+D42+D44+D46+D48+D50+D54+D57+D60+D62+D64+D66+D68+D70+D72+D73+#REF!</f>
        <v>#REF!</v>
      </c>
      <c r="R7" s="14" t="e">
        <f t="shared" ref="R7:R12" si="0">Q7/P7</f>
        <v>#REF!</v>
      </c>
    </row>
    <row r="8" spans="1:18" x14ac:dyDescent="0.25">
      <c r="F8" s="6"/>
      <c r="O8" t="s">
        <v>16</v>
      </c>
      <c r="P8">
        <v>3</v>
      </c>
      <c r="Q8" s="10">
        <f>D31+D35+D52</f>
        <v>8113</v>
      </c>
      <c r="R8" s="14">
        <f t="shared" si="0"/>
        <v>2704.3333333333335</v>
      </c>
    </row>
    <row r="9" spans="1:18" x14ac:dyDescent="0.25">
      <c r="A9" t="s">
        <v>9</v>
      </c>
      <c r="F9" s="6"/>
      <c r="O9" t="s">
        <v>6</v>
      </c>
      <c r="P9">
        <v>7</v>
      </c>
      <c r="Q9" s="10" t="e">
        <f>D14+D33+D37+D53+D56+#REF!+#REF!</f>
        <v>#REF!</v>
      </c>
      <c r="R9" s="14" t="e">
        <f t="shared" si="0"/>
        <v>#REF!</v>
      </c>
    </row>
    <row r="10" spans="1:18" x14ac:dyDescent="0.25">
      <c r="F10" s="6"/>
      <c r="O10" t="s">
        <v>15</v>
      </c>
      <c r="P10">
        <v>10</v>
      </c>
      <c r="Q10" s="10">
        <f>D29+D36+D39+D43+D45+D47+D49+D51+D32</f>
        <v>15334</v>
      </c>
      <c r="R10" s="14">
        <f t="shared" si="0"/>
        <v>1533.4</v>
      </c>
    </row>
    <row r="11" spans="1:18" x14ac:dyDescent="0.25">
      <c r="A11" t="s">
        <v>21</v>
      </c>
      <c r="F11" s="6"/>
      <c r="O11" t="s">
        <v>31</v>
      </c>
      <c r="P11">
        <v>6</v>
      </c>
      <c r="Q11" s="10">
        <f>D11+D13+D16+D18+D23+D26</f>
        <v>4415</v>
      </c>
      <c r="R11" s="12">
        <f t="shared" si="0"/>
        <v>735.83333333333337</v>
      </c>
    </row>
    <row r="12" spans="1:18" x14ac:dyDescent="0.25">
      <c r="F12" s="6"/>
      <c r="O12" t="s">
        <v>22</v>
      </c>
      <c r="P12">
        <v>11</v>
      </c>
      <c r="Q12" s="10" t="e">
        <f>D55+D58+D61+D63+D65+D67+D69+#REF!+#REF!+D74+D75</f>
        <v>#REF!</v>
      </c>
      <c r="R12" s="12" t="e">
        <f t="shared" si="0"/>
        <v>#REF!</v>
      </c>
    </row>
    <row r="13" spans="1:18" x14ac:dyDescent="0.25">
      <c r="A13" t="s">
        <v>11</v>
      </c>
      <c r="F13" s="6"/>
    </row>
    <row r="14" spans="1:18" x14ac:dyDescent="0.25">
      <c r="F14" s="6"/>
    </row>
    <row r="15" spans="1:18" x14ac:dyDescent="0.25">
      <c r="F15" s="6"/>
    </row>
    <row r="16" spans="1:18" x14ac:dyDescent="0.25">
      <c r="A16" t="s">
        <v>12</v>
      </c>
      <c r="B16" s="3">
        <v>45689</v>
      </c>
      <c r="C16" s="1" t="s">
        <v>6</v>
      </c>
      <c r="D16" s="2">
        <v>0</v>
      </c>
      <c r="F16" s="6">
        <f t="shared" ref="F16:F77" si="1">D16+E16</f>
        <v>0</v>
      </c>
    </row>
    <row r="17" spans="1:8" x14ac:dyDescent="0.25">
      <c r="B17" s="3">
        <v>45689</v>
      </c>
      <c r="C17" s="1" t="s">
        <v>16</v>
      </c>
      <c r="D17" s="2">
        <v>0</v>
      </c>
      <c r="F17" s="6">
        <f t="shared" si="1"/>
        <v>0</v>
      </c>
    </row>
    <row r="18" spans="1:8" x14ac:dyDescent="0.25">
      <c r="B18" s="3">
        <v>45689</v>
      </c>
      <c r="C18" s="1" t="s">
        <v>4</v>
      </c>
      <c r="D18" s="2">
        <v>1547</v>
      </c>
      <c r="F18" s="6">
        <f t="shared" si="1"/>
        <v>1547</v>
      </c>
    </row>
    <row r="19" spans="1:8" x14ac:dyDescent="0.25">
      <c r="B19" s="3">
        <v>45689</v>
      </c>
      <c r="C19" s="1" t="s">
        <v>15</v>
      </c>
      <c r="D19" s="2">
        <v>0</v>
      </c>
      <c r="F19" s="6">
        <f t="shared" si="1"/>
        <v>0</v>
      </c>
    </row>
    <row r="20" spans="1:8" x14ac:dyDescent="0.25">
      <c r="B20" s="3">
        <v>45689</v>
      </c>
      <c r="C20" s="1" t="s">
        <v>32</v>
      </c>
      <c r="D20" s="2">
        <v>13628</v>
      </c>
      <c r="F20" s="6">
        <f t="shared" si="1"/>
        <v>13628</v>
      </c>
    </row>
    <row r="21" spans="1:8" x14ac:dyDescent="0.25">
      <c r="A21" t="s">
        <v>13</v>
      </c>
      <c r="B21" s="3">
        <v>45690</v>
      </c>
      <c r="C21" s="1" t="s">
        <v>6</v>
      </c>
      <c r="D21" s="2">
        <v>0</v>
      </c>
      <c r="F21" s="6">
        <f t="shared" si="1"/>
        <v>0</v>
      </c>
    </row>
    <row r="22" spans="1:8" x14ac:dyDescent="0.25">
      <c r="B22" s="3">
        <v>45690</v>
      </c>
      <c r="C22" s="1" t="s">
        <v>4</v>
      </c>
      <c r="D22" s="2">
        <v>2042</v>
      </c>
      <c r="F22" s="6">
        <f t="shared" si="1"/>
        <v>2042</v>
      </c>
    </row>
    <row r="23" spans="1:8" x14ac:dyDescent="0.25">
      <c r="B23" s="3">
        <v>45690</v>
      </c>
      <c r="C23" s="1" t="s">
        <v>15</v>
      </c>
      <c r="D23" s="2">
        <v>0</v>
      </c>
      <c r="F23" s="6">
        <f t="shared" si="1"/>
        <v>0</v>
      </c>
    </row>
    <row r="24" spans="1:8" x14ac:dyDescent="0.25">
      <c r="B24" s="3">
        <v>45690</v>
      </c>
      <c r="C24" s="1" t="s">
        <v>32</v>
      </c>
      <c r="D24" s="2">
        <v>10507</v>
      </c>
      <c r="F24" s="6">
        <f t="shared" si="1"/>
        <v>10507</v>
      </c>
    </row>
    <row r="25" spans="1:8" x14ac:dyDescent="0.25">
      <c r="F25" s="6"/>
    </row>
    <row r="26" spans="1:8" x14ac:dyDescent="0.25">
      <c r="A26" t="s">
        <v>7</v>
      </c>
      <c r="B26" s="3">
        <v>45691</v>
      </c>
      <c r="C26" s="1" t="s">
        <v>3</v>
      </c>
      <c r="D26" s="2">
        <v>2868</v>
      </c>
      <c r="F26" s="6">
        <f t="shared" si="1"/>
        <v>2868</v>
      </c>
      <c r="H26" s="7" t="s">
        <v>18</v>
      </c>
    </row>
    <row r="27" spans="1:8" x14ac:dyDescent="0.25">
      <c r="B27" s="3">
        <v>45691</v>
      </c>
      <c r="C27" s="1" t="s">
        <v>4</v>
      </c>
      <c r="D27" s="2">
        <v>1938</v>
      </c>
      <c r="F27" s="6">
        <f t="shared" si="1"/>
        <v>1938</v>
      </c>
      <c r="H27" s="8">
        <f>SUM(F26:F44)</f>
        <v>19368</v>
      </c>
    </row>
    <row r="28" spans="1:8" x14ac:dyDescent="0.25">
      <c r="B28" s="3">
        <v>45691</v>
      </c>
      <c r="C28" s="1" t="s">
        <v>15</v>
      </c>
      <c r="D28" s="2">
        <v>0</v>
      </c>
      <c r="F28" s="6">
        <f t="shared" si="1"/>
        <v>0</v>
      </c>
    </row>
    <row r="29" spans="1:8" x14ac:dyDescent="0.25">
      <c r="A29" t="s">
        <v>8</v>
      </c>
      <c r="B29" s="3">
        <v>45692</v>
      </c>
      <c r="C29" s="1" t="s">
        <v>4</v>
      </c>
      <c r="D29" s="2">
        <v>1840</v>
      </c>
      <c r="F29" s="6">
        <f t="shared" si="1"/>
        <v>1840</v>
      </c>
    </row>
    <row r="30" spans="1:8" x14ac:dyDescent="0.25">
      <c r="B30" s="3">
        <v>45692</v>
      </c>
      <c r="C30" s="1" t="s">
        <v>15</v>
      </c>
      <c r="D30" s="2">
        <v>0</v>
      </c>
      <c r="F30" s="6">
        <f t="shared" si="1"/>
        <v>0</v>
      </c>
    </row>
    <row r="31" spans="1:8" x14ac:dyDescent="0.25">
      <c r="A31" t="s">
        <v>9</v>
      </c>
      <c r="B31" s="3">
        <v>45693</v>
      </c>
      <c r="C31" s="1" t="s">
        <v>4</v>
      </c>
      <c r="D31" s="2">
        <v>2000</v>
      </c>
      <c r="F31" s="6">
        <f t="shared" si="1"/>
        <v>2000</v>
      </c>
    </row>
    <row r="32" spans="1:8" x14ac:dyDescent="0.25">
      <c r="B32" s="3">
        <v>45693</v>
      </c>
      <c r="C32" s="1" t="s">
        <v>15</v>
      </c>
      <c r="D32" s="2">
        <v>0</v>
      </c>
      <c r="F32" s="6">
        <f>D32+E32</f>
        <v>0</v>
      </c>
    </row>
    <row r="33" spans="1:8" x14ac:dyDescent="0.25">
      <c r="A33" t="s">
        <v>21</v>
      </c>
      <c r="B33" s="3">
        <v>45694</v>
      </c>
      <c r="C33" s="1" t="s">
        <v>4</v>
      </c>
      <c r="D33" s="2">
        <v>2147</v>
      </c>
      <c r="F33" s="6">
        <f t="shared" si="1"/>
        <v>2147</v>
      </c>
    </row>
    <row r="34" spans="1:8" x14ac:dyDescent="0.25">
      <c r="B34" s="3">
        <v>45694</v>
      </c>
      <c r="C34" s="1" t="s">
        <v>15</v>
      </c>
      <c r="D34" s="2">
        <v>0</v>
      </c>
      <c r="F34" s="6">
        <f t="shared" si="1"/>
        <v>0</v>
      </c>
    </row>
    <row r="35" spans="1:8" x14ac:dyDescent="0.25">
      <c r="A35" t="s">
        <v>11</v>
      </c>
      <c r="B35" s="3">
        <v>45695</v>
      </c>
      <c r="C35" s="1" t="s">
        <v>4</v>
      </c>
      <c r="D35" s="2">
        <v>2562</v>
      </c>
      <c r="F35" s="6">
        <f t="shared" si="1"/>
        <v>2562</v>
      </c>
    </row>
    <row r="36" spans="1:8" x14ac:dyDescent="0.25">
      <c r="B36" s="3">
        <v>45695</v>
      </c>
      <c r="C36" s="1" t="s">
        <v>16</v>
      </c>
      <c r="F36" s="6">
        <f t="shared" si="1"/>
        <v>0</v>
      </c>
    </row>
    <row r="37" spans="1:8" x14ac:dyDescent="0.25">
      <c r="B37" s="3">
        <v>45695</v>
      </c>
      <c r="C37" s="1" t="s">
        <v>15</v>
      </c>
      <c r="D37" s="2">
        <v>0</v>
      </c>
      <c r="F37" s="6">
        <f t="shared" si="1"/>
        <v>0</v>
      </c>
    </row>
    <row r="38" spans="1:8" x14ac:dyDescent="0.25">
      <c r="A38" t="s">
        <v>12</v>
      </c>
      <c r="B38" s="3">
        <v>45696</v>
      </c>
      <c r="C38" s="1" t="s">
        <v>6</v>
      </c>
      <c r="D38" s="2">
        <v>600</v>
      </c>
      <c r="F38" s="6">
        <f t="shared" si="1"/>
        <v>600</v>
      </c>
    </row>
    <row r="39" spans="1:8" x14ac:dyDescent="0.25">
      <c r="B39" s="3">
        <v>45696</v>
      </c>
      <c r="C39" s="1" t="s">
        <v>4</v>
      </c>
      <c r="D39" s="2">
        <v>2832</v>
      </c>
      <c r="F39" s="6">
        <f t="shared" si="1"/>
        <v>2832</v>
      </c>
    </row>
    <row r="40" spans="1:8" x14ac:dyDescent="0.25">
      <c r="B40" s="3">
        <v>45696</v>
      </c>
      <c r="C40" s="1" t="s">
        <v>16</v>
      </c>
      <c r="D40" s="2">
        <v>0</v>
      </c>
      <c r="F40" s="6">
        <f t="shared" si="1"/>
        <v>0</v>
      </c>
    </row>
    <row r="41" spans="1:8" x14ac:dyDescent="0.25">
      <c r="B41" s="3">
        <v>45696</v>
      </c>
      <c r="C41" s="1" t="s">
        <v>15</v>
      </c>
      <c r="D41" s="2">
        <v>0</v>
      </c>
      <c r="F41" s="6">
        <f t="shared" si="1"/>
        <v>0</v>
      </c>
    </row>
    <row r="42" spans="1:8" x14ac:dyDescent="0.25">
      <c r="A42" t="s">
        <v>13</v>
      </c>
      <c r="B42" s="3">
        <v>45697</v>
      </c>
      <c r="C42" s="1" t="s">
        <v>6</v>
      </c>
      <c r="D42" s="2">
        <v>0</v>
      </c>
      <c r="F42" s="6">
        <f t="shared" si="1"/>
        <v>0</v>
      </c>
    </row>
    <row r="43" spans="1:8" x14ac:dyDescent="0.25">
      <c r="B43" s="3">
        <v>45697</v>
      </c>
      <c r="C43" s="1" t="s">
        <v>4</v>
      </c>
      <c r="D43" s="2">
        <v>2581</v>
      </c>
      <c r="F43" s="6">
        <f t="shared" si="1"/>
        <v>2581</v>
      </c>
    </row>
    <row r="44" spans="1:8" x14ac:dyDescent="0.25">
      <c r="B44" s="3">
        <v>45697</v>
      </c>
      <c r="C44" s="1" t="s">
        <v>15</v>
      </c>
      <c r="D44" s="2">
        <v>0</v>
      </c>
      <c r="F44" s="6">
        <f t="shared" si="1"/>
        <v>0</v>
      </c>
    </row>
    <row r="45" spans="1:8" x14ac:dyDescent="0.25">
      <c r="F45" s="6"/>
    </row>
    <row r="46" spans="1:8" x14ac:dyDescent="0.25">
      <c r="A46" t="s">
        <v>7</v>
      </c>
      <c r="B46" s="3">
        <v>45698</v>
      </c>
      <c r="C46" s="1" t="s">
        <v>3</v>
      </c>
      <c r="D46" s="2">
        <v>3282</v>
      </c>
      <c r="F46" s="6">
        <f t="shared" si="1"/>
        <v>3282</v>
      </c>
      <c r="H46" s="7" t="s">
        <v>19</v>
      </c>
    </row>
    <row r="47" spans="1:8" x14ac:dyDescent="0.25">
      <c r="B47" s="3">
        <v>45698</v>
      </c>
      <c r="C47" s="1" t="s">
        <v>4</v>
      </c>
      <c r="D47" s="2">
        <v>1608</v>
      </c>
      <c r="F47" s="6">
        <f t="shared" si="1"/>
        <v>1608</v>
      </c>
      <c r="H47" s="9">
        <f>SUM(F46:F64)</f>
        <v>41964</v>
      </c>
    </row>
    <row r="48" spans="1:8" x14ac:dyDescent="0.25">
      <c r="B48" s="3">
        <v>45698</v>
      </c>
      <c r="C48" s="1" t="s">
        <v>33</v>
      </c>
      <c r="D48" s="2">
        <v>2250</v>
      </c>
      <c r="F48" s="6">
        <f t="shared" si="1"/>
        <v>2250</v>
      </c>
    </row>
    <row r="49" spans="1:6" x14ac:dyDescent="0.25">
      <c r="A49" t="s">
        <v>8</v>
      </c>
      <c r="B49" s="3">
        <v>45699</v>
      </c>
      <c r="C49" s="1" t="s">
        <v>4</v>
      </c>
      <c r="D49" s="2">
        <v>3331</v>
      </c>
      <c r="F49" s="6">
        <f t="shared" si="1"/>
        <v>3331</v>
      </c>
    </row>
    <row r="50" spans="1:6" x14ac:dyDescent="0.25">
      <c r="B50" s="3">
        <v>45699</v>
      </c>
      <c r="C50" s="1" t="s">
        <v>33</v>
      </c>
      <c r="D50" s="2">
        <v>2279</v>
      </c>
      <c r="F50" s="6">
        <f t="shared" si="1"/>
        <v>2279</v>
      </c>
    </row>
    <row r="51" spans="1:6" x14ac:dyDescent="0.25">
      <c r="A51" t="s">
        <v>9</v>
      </c>
      <c r="B51" s="3">
        <v>45700</v>
      </c>
      <c r="C51" s="1" t="s">
        <v>4</v>
      </c>
      <c r="D51" s="2">
        <v>3142</v>
      </c>
      <c r="F51" s="6">
        <f t="shared" si="1"/>
        <v>3142</v>
      </c>
    </row>
    <row r="52" spans="1:6" x14ac:dyDescent="0.25">
      <c r="B52" s="3">
        <v>45700</v>
      </c>
      <c r="C52" s="1" t="s">
        <v>33</v>
      </c>
      <c r="D52" s="2">
        <v>3551</v>
      </c>
      <c r="F52" s="6">
        <f t="shared" si="1"/>
        <v>3551</v>
      </c>
    </row>
    <row r="53" spans="1:6" x14ac:dyDescent="0.25">
      <c r="A53" t="s">
        <v>21</v>
      </c>
      <c r="B53" s="3">
        <v>45701</v>
      </c>
      <c r="C53" s="1" t="s">
        <v>4</v>
      </c>
      <c r="D53" s="2">
        <v>2692</v>
      </c>
      <c r="F53" s="6">
        <f t="shared" si="1"/>
        <v>2692</v>
      </c>
    </row>
    <row r="54" spans="1:6" x14ac:dyDescent="0.25">
      <c r="B54" s="3">
        <v>45701</v>
      </c>
      <c r="C54" s="1" t="s">
        <v>33</v>
      </c>
      <c r="D54" s="2">
        <v>1762</v>
      </c>
      <c r="F54" s="6">
        <f t="shared" si="1"/>
        <v>1762</v>
      </c>
    </row>
    <row r="55" spans="1:6" x14ac:dyDescent="0.25">
      <c r="A55" t="s">
        <v>11</v>
      </c>
      <c r="B55" s="3">
        <v>45702</v>
      </c>
      <c r="C55" s="1" t="s">
        <v>4</v>
      </c>
      <c r="D55" s="2">
        <v>2593</v>
      </c>
      <c r="F55" s="6">
        <f t="shared" si="1"/>
        <v>2593</v>
      </c>
    </row>
    <row r="56" spans="1:6" x14ac:dyDescent="0.25">
      <c r="B56" s="3">
        <v>45702</v>
      </c>
      <c r="C56" s="1" t="s">
        <v>33</v>
      </c>
      <c r="D56" s="2">
        <v>2361</v>
      </c>
      <c r="F56" s="6">
        <f t="shared" si="1"/>
        <v>2361</v>
      </c>
    </row>
    <row r="57" spans="1:6" x14ac:dyDescent="0.25">
      <c r="B57" s="3">
        <v>45702</v>
      </c>
      <c r="C57" s="1" t="s">
        <v>16</v>
      </c>
      <c r="D57" s="2">
        <v>0</v>
      </c>
      <c r="F57" s="6">
        <f t="shared" si="1"/>
        <v>0</v>
      </c>
    </row>
    <row r="58" spans="1:6" x14ac:dyDescent="0.25">
      <c r="A58" t="s">
        <v>12</v>
      </c>
      <c r="B58" s="3">
        <v>45703</v>
      </c>
      <c r="C58" s="1" t="s">
        <v>6</v>
      </c>
      <c r="D58" s="2">
        <v>2590</v>
      </c>
      <c r="F58" s="6">
        <f t="shared" si="1"/>
        <v>2590</v>
      </c>
    </row>
    <row r="59" spans="1:6" x14ac:dyDescent="0.25">
      <c r="B59" s="3">
        <v>45703</v>
      </c>
      <c r="C59" s="1" t="s">
        <v>4</v>
      </c>
      <c r="D59" s="2">
        <v>2505</v>
      </c>
      <c r="F59" s="6">
        <f t="shared" si="1"/>
        <v>2505</v>
      </c>
    </row>
    <row r="60" spans="1:6" x14ac:dyDescent="0.25">
      <c r="B60" s="3">
        <v>45703</v>
      </c>
      <c r="C60" s="1" t="s">
        <v>33</v>
      </c>
      <c r="D60" s="2">
        <v>3596</v>
      </c>
      <c r="F60" s="6">
        <f t="shared" si="1"/>
        <v>3596</v>
      </c>
    </row>
    <row r="61" spans="1:6" x14ac:dyDescent="0.25">
      <c r="B61" s="3">
        <v>45703</v>
      </c>
      <c r="C61" s="1" t="s">
        <v>16</v>
      </c>
      <c r="D61" s="2">
        <v>0</v>
      </c>
      <c r="F61" s="6">
        <f t="shared" si="1"/>
        <v>0</v>
      </c>
    </row>
    <row r="62" spans="1:6" x14ac:dyDescent="0.25">
      <c r="A62" t="s">
        <v>13</v>
      </c>
      <c r="B62" s="3">
        <v>45704</v>
      </c>
      <c r="C62" s="1" t="s">
        <v>6</v>
      </c>
      <c r="D62" s="2">
        <v>0</v>
      </c>
      <c r="F62" s="6">
        <f t="shared" si="1"/>
        <v>0</v>
      </c>
    </row>
    <row r="63" spans="1:6" x14ac:dyDescent="0.25">
      <c r="B63" s="3">
        <v>45704</v>
      </c>
      <c r="C63" s="1" t="s">
        <v>4</v>
      </c>
      <c r="D63" s="2">
        <v>1823</v>
      </c>
      <c r="F63" s="6">
        <f t="shared" si="1"/>
        <v>1823</v>
      </c>
    </row>
    <row r="64" spans="1:6" x14ac:dyDescent="0.25">
      <c r="B64" s="3">
        <v>45704</v>
      </c>
      <c r="C64" s="1" t="s">
        <v>33</v>
      </c>
      <c r="D64" s="2">
        <v>2599</v>
      </c>
      <c r="F64" s="6">
        <f t="shared" si="1"/>
        <v>2599</v>
      </c>
    </row>
    <row r="65" spans="1:9" x14ac:dyDescent="0.25">
      <c r="F65" s="6"/>
    </row>
    <row r="66" spans="1:9" x14ac:dyDescent="0.25">
      <c r="A66" t="s">
        <v>7</v>
      </c>
      <c r="B66" s="3">
        <v>45705</v>
      </c>
      <c r="C66" s="1" t="s">
        <v>3</v>
      </c>
      <c r="D66" s="2">
        <v>3526</v>
      </c>
      <c r="F66" s="6">
        <f t="shared" si="1"/>
        <v>3526</v>
      </c>
      <c r="H66" s="7" t="s">
        <v>23</v>
      </c>
      <c r="I66" s="16" t="s">
        <v>34</v>
      </c>
    </row>
    <row r="67" spans="1:9" x14ac:dyDescent="0.25">
      <c r="B67" s="3">
        <v>45705</v>
      </c>
      <c r="C67" s="1" t="s">
        <v>4</v>
      </c>
      <c r="D67" s="2">
        <v>1555</v>
      </c>
      <c r="F67" s="6">
        <f t="shared" si="1"/>
        <v>1555</v>
      </c>
      <c r="H67" s="8">
        <f>SUM(F66:F80)</f>
        <v>32913</v>
      </c>
    </row>
    <row r="68" spans="1:9" x14ac:dyDescent="0.25">
      <c r="B68" s="3">
        <v>45705</v>
      </c>
      <c r="C68" s="1" t="s">
        <v>15</v>
      </c>
      <c r="D68" s="2">
        <v>0</v>
      </c>
      <c r="F68" s="6">
        <f t="shared" si="1"/>
        <v>0</v>
      </c>
    </row>
    <row r="69" spans="1:9" x14ac:dyDescent="0.25">
      <c r="A69" t="s">
        <v>8</v>
      </c>
      <c r="B69" s="3">
        <v>45706</v>
      </c>
      <c r="C69" s="1" t="s">
        <v>4</v>
      </c>
      <c r="D69" s="2">
        <v>3655</v>
      </c>
      <c r="F69" s="6">
        <f t="shared" si="1"/>
        <v>3655</v>
      </c>
    </row>
    <row r="70" spans="1:9" x14ac:dyDescent="0.25">
      <c r="A70" t="s">
        <v>9</v>
      </c>
      <c r="B70" s="3">
        <v>45707</v>
      </c>
      <c r="C70" s="1" t="s">
        <v>4</v>
      </c>
      <c r="D70" s="2">
        <v>2526</v>
      </c>
      <c r="F70" s="6">
        <f t="shared" si="1"/>
        <v>2526</v>
      </c>
    </row>
    <row r="71" spans="1:9" x14ac:dyDescent="0.25">
      <c r="A71" t="s">
        <v>21</v>
      </c>
      <c r="B71" s="3">
        <v>45708</v>
      </c>
      <c r="C71" s="1" t="s">
        <v>4</v>
      </c>
      <c r="D71" s="2">
        <v>2020</v>
      </c>
      <c r="F71" s="6">
        <f t="shared" si="1"/>
        <v>2020</v>
      </c>
    </row>
    <row r="72" spans="1:9" x14ac:dyDescent="0.25">
      <c r="B72" s="3">
        <v>45708</v>
      </c>
      <c r="C72" s="1" t="s">
        <v>3</v>
      </c>
      <c r="D72" s="2">
        <v>1090</v>
      </c>
      <c r="F72" s="6">
        <f t="shared" si="1"/>
        <v>1090</v>
      </c>
    </row>
    <row r="73" spans="1:9" x14ac:dyDescent="0.25">
      <c r="A73" t="s">
        <v>11</v>
      </c>
      <c r="B73" s="3">
        <v>45709</v>
      </c>
      <c r="C73" s="1" t="s">
        <v>4</v>
      </c>
      <c r="D73" s="2">
        <v>2179</v>
      </c>
      <c r="F73" s="6">
        <f t="shared" si="1"/>
        <v>2179</v>
      </c>
    </row>
    <row r="74" spans="1:9" x14ac:dyDescent="0.25">
      <c r="B74" s="3">
        <v>45709</v>
      </c>
      <c r="C74" s="1" t="s">
        <v>16</v>
      </c>
      <c r="D74" s="2">
        <v>3701</v>
      </c>
      <c r="F74" s="6">
        <f t="shared" si="1"/>
        <v>3701</v>
      </c>
    </row>
    <row r="75" spans="1:9" x14ac:dyDescent="0.25">
      <c r="A75" t="s">
        <v>12</v>
      </c>
      <c r="B75" s="3">
        <v>45710</v>
      </c>
      <c r="C75" s="1" t="s">
        <v>6</v>
      </c>
      <c r="D75" s="2">
        <v>255</v>
      </c>
      <c r="F75" s="6">
        <f t="shared" si="1"/>
        <v>255</v>
      </c>
    </row>
    <row r="76" spans="1:9" x14ac:dyDescent="0.25">
      <c r="B76" s="3">
        <v>45710</v>
      </c>
      <c r="C76" s="1" t="s">
        <v>4</v>
      </c>
      <c r="D76" s="2">
        <v>1942</v>
      </c>
      <c r="F76" s="6">
        <f t="shared" si="1"/>
        <v>1942</v>
      </c>
    </row>
    <row r="77" spans="1:9" x14ac:dyDescent="0.25">
      <c r="B77" s="3">
        <v>45710</v>
      </c>
      <c r="C77" s="1" t="s">
        <v>35</v>
      </c>
      <c r="D77" s="2">
        <v>4158</v>
      </c>
      <c r="F77" s="6">
        <f t="shared" si="1"/>
        <v>4158</v>
      </c>
    </row>
    <row r="78" spans="1:9" x14ac:dyDescent="0.25">
      <c r="B78" s="3">
        <v>45710</v>
      </c>
      <c r="C78" s="1" t="s">
        <v>16</v>
      </c>
      <c r="D78" s="2">
        <v>3350</v>
      </c>
      <c r="F78" s="6">
        <f t="shared" ref="F78:F88" si="2">D78+E78</f>
        <v>3350</v>
      </c>
    </row>
    <row r="79" spans="1:9" x14ac:dyDescent="0.25">
      <c r="A79" t="s">
        <v>13</v>
      </c>
      <c r="B79" s="3">
        <v>45711</v>
      </c>
      <c r="C79" s="1" t="s">
        <v>6</v>
      </c>
      <c r="D79" s="2">
        <v>0</v>
      </c>
      <c r="F79" s="6">
        <f t="shared" si="2"/>
        <v>0</v>
      </c>
    </row>
    <row r="80" spans="1:9" x14ac:dyDescent="0.25">
      <c r="B80" s="3">
        <v>45711</v>
      </c>
      <c r="C80" s="1" t="s">
        <v>4</v>
      </c>
      <c r="D80" s="2">
        <v>2956</v>
      </c>
      <c r="F80" s="6">
        <f t="shared" si="2"/>
        <v>2956</v>
      </c>
    </row>
    <row r="81" spans="1:9" x14ac:dyDescent="0.25">
      <c r="F81" s="6"/>
    </row>
    <row r="82" spans="1:9" x14ac:dyDescent="0.25">
      <c r="A82" t="s">
        <v>7</v>
      </c>
      <c r="B82" s="3">
        <v>45712</v>
      </c>
      <c r="C82" s="1" t="s">
        <v>3</v>
      </c>
      <c r="D82" s="2">
        <v>1008</v>
      </c>
      <c r="F82" s="6">
        <f t="shared" si="2"/>
        <v>1008</v>
      </c>
      <c r="H82" s="7" t="s">
        <v>24</v>
      </c>
      <c r="I82" s="16" t="s">
        <v>36</v>
      </c>
    </row>
    <row r="83" spans="1:9" x14ac:dyDescent="0.25">
      <c r="B83" s="3">
        <v>45712</v>
      </c>
      <c r="C83" s="1" t="s">
        <v>4</v>
      </c>
      <c r="D83" s="2">
        <v>1426</v>
      </c>
      <c r="F83" s="6">
        <f t="shared" si="2"/>
        <v>1426</v>
      </c>
      <c r="H83" s="8">
        <f>SUM(F82:F95)</f>
        <v>10743</v>
      </c>
    </row>
    <row r="84" spans="1:9" x14ac:dyDescent="0.25">
      <c r="A84" t="s">
        <v>8</v>
      </c>
      <c r="B84" s="3">
        <v>45713</v>
      </c>
      <c r="C84" s="1" t="s">
        <v>4</v>
      </c>
      <c r="F84" s="6">
        <f t="shared" si="2"/>
        <v>0</v>
      </c>
    </row>
    <row r="85" spans="1:9" x14ac:dyDescent="0.25">
      <c r="A85" t="s">
        <v>9</v>
      </c>
      <c r="B85" s="3">
        <v>45714</v>
      </c>
      <c r="C85" s="1" t="s">
        <v>4</v>
      </c>
      <c r="F85" s="6">
        <f t="shared" si="2"/>
        <v>0</v>
      </c>
    </row>
    <row r="86" spans="1:9" x14ac:dyDescent="0.25">
      <c r="A86" t="s">
        <v>21</v>
      </c>
      <c r="B86" s="3">
        <v>45715</v>
      </c>
      <c r="C86" s="1" t="s">
        <v>4</v>
      </c>
      <c r="D86" s="2">
        <v>2437</v>
      </c>
      <c r="F86" s="6">
        <f t="shared" si="2"/>
        <v>2437</v>
      </c>
    </row>
    <row r="87" spans="1:9" x14ac:dyDescent="0.25">
      <c r="A87" t="s">
        <v>11</v>
      </c>
      <c r="B87" s="3">
        <v>45716</v>
      </c>
      <c r="C87" s="1" t="s">
        <v>4</v>
      </c>
      <c r="D87" s="2">
        <v>2553</v>
      </c>
      <c r="F87" s="6">
        <f t="shared" si="2"/>
        <v>2553</v>
      </c>
    </row>
    <row r="88" spans="1:9" x14ac:dyDescent="0.25">
      <c r="B88" s="3">
        <v>45716</v>
      </c>
      <c r="C88" s="1" t="s">
        <v>16</v>
      </c>
      <c r="D88" s="2">
        <v>3319</v>
      </c>
      <c r="F88" s="6">
        <f t="shared" si="2"/>
        <v>3319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2D3CD-ADEB-6A46-987A-15D90DFFE13E}">
  <sheetPr>
    <tabColor rgb="FFFF0000"/>
  </sheetPr>
  <dimension ref="A3:R78"/>
  <sheetViews>
    <sheetView workbookViewId="0">
      <selection activeCell="H28" sqref="H28"/>
    </sheetView>
  </sheetViews>
  <sheetFormatPr baseColWidth="10" defaultRowHeight="19" x14ac:dyDescent="0.25"/>
  <cols>
    <col min="2" max="2" width="13.6640625" style="3" customWidth="1"/>
    <col min="3" max="3" width="19.83203125" style="1" customWidth="1"/>
    <col min="4" max="4" width="10.83203125" style="2"/>
    <col min="5" max="6" width="10.83203125" style="1"/>
    <col min="10" max="10" width="13.6640625" customWidth="1"/>
  </cols>
  <sheetData>
    <row r="3" spans="1:18" x14ac:dyDescent="0.25">
      <c r="B3" s="3" t="s">
        <v>0</v>
      </c>
      <c r="C3" s="1" t="s">
        <v>1</v>
      </c>
      <c r="D3" s="2" t="s">
        <v>2</v>
      </c>
      <c r="E3" s="1" t="s">
        <v>25</v>
      </c>
      <c r="F3" s="1" t="s">
        <v>26</v>
      </c>
    </row>
    <row r="4" spans="1:18" x14ac:dyDescent="0.25">
      <c r="A4" t="s">
        <v>12</v>
      </c>
      <c r="B4" s="3">
        <v>45717</v>
      </c>
      <c r="C4" s="1" t="s">
        <v>6</v>
      </c>
      <c r="D4" s="2">
        <v>2948</v>
      </c>
      <c r="F4" s="6">
        <f t="shared" ref="F4:F59" si="0">D4+E4</f>
        <v>2948</v>
      </c>
      <c r="H4" s="7" t="s">
        <v>17</v>
      </c>
      <c r="I4" s="16" t="s">
        <v>37</v>
      </c>
      <c r="J4" s="7" t="s">
        <v>14</v>
      </c>
      <c r="O4" s="15"/>
    </row>
    <row r="5" spans="1:18" x14ac:dyDescent="0.25">
      <c r="B5" s="3">
        <v>45717</v>
      </c>
      <c r="C5" s="1" t="s">
        <v>4</v>
      </c>
      <c r="D5" s="2">
        <v>2235</v>
      </c>
      <c r="F5" s="6">
        <f t="shared" si="0"/>
        <v>2235</v>
      </c>
      <c r="H5" s="8">
        <f>SUM(F4:F20)</f>
        <v>46556</v>
      </c>
      <c r="J5" s="5">
        <f>SUM(F4:F78)</f>
        <v>152322</v>
      </c>
      <c r="P5" t="s">
        <v>28</v>
      </c>
      <c r="Q5" s="10" t="s">
        <v>29</v>
      </c>
      <c r="R5" s="10" t="s">
        <v>30</v>
      </c>
    </row>
    <row r="6" spans="1:18" x14ac:dyDescent="0.25">
      <c r="B6" s="3">
        <v>45717</v>
      </c>
      <c r="C6" s="1" t="s">
        <v>16</v>
      </c>
      <c r="D6" s="2">
        <v>3504</v>
      </c>
      <c r="F6" s="6">
        <f t="shared" si="0"/>
        <v>3504</v>
      </c>
      <c r="O6" t="s">
        <v>3</v>
      </c>
      <c r="P6">
        <v>4</v>
      </c>
      <c r="Q6" s="10">
        <f>D4+D22+D37+D50</f>
        <v>12973</v>
      </c>
      <c r="R6" s="14">
        <f>Q6/P6</f>
        <v>3243.25</v>
      </c>
    </row>
    <row r="7" spans="1:18" x14ac:dyDescent="0.25">
      <c r="A7" t="s">
        <v>13</v>
      </c>
      <c r="B7" s="3">
        <v>45718</v>
      </c>
      <c r="C7" s="1" t="s">
        <v>6</v>
      </c>
      <c r="D7" s="2">
        <v>2844</v>
      </c>
      <c r="F7" s="6">
        <f t="shared" si="0"/>
        <v>2844</v>
      </c>
      <c r="O7" t="s">
        <v>4</v>
      </c>
      <c r="P7">
        <v>31</v>
      </c>
      <c r="Q7" s="10">
        <f>D5+D7+D9+D11+D13+D18+D20+D23+D24+D25+D27+D28+D31+D38+D39+D40+D41+D46+D51+D52+D53+D54+D56+D59+D62+D65+D66+D69+D72</f>
        <v>75081</v>
      </c>
      <c r="R7" s="14">
        <f>Q7/P7</f>
        <v>2421.9677419354839</v>
      </c>
    </row>
    <row r="8" spans="1:18" x14ac:dyDescent="0.25">
      <c r="B8" s="3">
        <v>45718</v>
      </c>
      <c r="C8" s="1" t="s">
        <v>4</v>
      </c>
      <c r="D8" s="2">
        <v>2948</v>
      </c>
      <c r="F8" s="6">
        <f t="shared" si="0"/>
        <v>2948</v>
      </c>
      <c r="O8" t="s">
        <v>16</v>
      </c>
      <c r="P8">
        <v>3</v>
      </c>
      <c r="Q8" s="10">
        <f>D14+D17+D17+D25+D29+D44+D58</f>
        <v>12531</v>
      </c>
      <c r="R8" s="14">
        <f t="shared" ref="R8:R9" si="1">Q8/P8</f>
        <v>4177</v>
      </c>
    </row>
    <row r="9" spans="1:18" x14ac:dyDescent="0.25">
      <c r="A9" t="s">
        <v>7</v>
      </c>
      <c r="B9" s="3">
        <v>45719</v>
      </c>
      <c r="C9" s="1" t="s">
        <v>4</v>
      </c>
      <c r="D9" s="2">
        <v>2496</v>
      </c>
      <c r="F9" s="6">
        <f t="shared" si="0"/>
        <v>2496</v>
      </c>
      <c r="O9" t="s">
        <v>6</v>
      </c>
      <c r="P9">
        <v>7</v>
      </c>
      <c r="Q9" s="10">
        <f>D16+D19+D30+D45+D48+D58</f>
        <v>11125</v>
      </c>
      <c r="R9" s="14">
        <f t="shared" si="1"/>
        <v>1589.2857142857142</v>
      </c>
    </row>
    <row r="10" spans="1:18" x14ac:dyDescent="0.25">
      <c r="B10" s="3">
        <v>45719</v>
      </c>
      <c r="C10" s="1" t="s">
        <v>3</v>
      </c>
      <c r="D10" s="2">
        <v>3504</v>
      </c>
      <c r="F10" s="6">
        <f t="shared" si="0"/>
        <v>3504</v>
      </c>
      <c r="Q10" s="10"/>
      <c r="R10" s="14"/>
    </row>
    <row r="11" spans="1:18" x14ac:dyDescent="0.25">
      <c r="A11" t="s">
        <v>8</v>
      </c>
      <c r="B11" s="3">
        <v>45720</v>
      </c>
      <c r="C11" s="1" t="s">
        <v>4</v>
      </c>
      <c r="D11" s="2">
        <v>2418</v>
      </c>
      <c r="F11" s="6">
        <f t="shared" si="0"/>
        <v>2418</v>
      </c>
      <c r="Q11" s="10"/>
      <c r="R11" s="12"/>
    </row>
    <row r="12" spans="1:18" x14ac:dyDescent="0.25">
      <c r="A12" t="s">
        <v>9</v>
      </c>
      <c r="B12" s="3">
        <v>45721</v>
      </c>
      <c r="C12" s="1" t="s">
        <v>4</v>
      </c>
      <c r="D12" s="2">
        <v>2571</v>
      </c>
      <c r="F12" s="6">
        <f t="shared" si="0"/>
        <v>2571</v>
      </c>
      <c r="Q12" s="10"/>
      <c r="R12" s="12"/>
    </row>
    <row r="13" spans="1:18" x14ac:dyDescent="0.25">
      <c r="A13" t="s">
        <v>21</v>
      </c>
      <c r="B13" s="3">
        <v>45722</v>
      </c>
      <c r="C13" s="1" t="s">
        <v>4</v>
      </c>
      <c r="D13" s="2">
        <v>2647</v>
      </c>
      <c r="F13" s="6">
        <f t="shared" si="0"/>
        <v>2647</v>
      </c>
    </row>
    <row r="14" spans="1:18" x14ac:dyDescent="0.25">
      <c r="A14" t="s">
        <v>11</v>
      </c>
      <c r="B14" s="3">
        <v>45723</v>
      </c>
      <c r="C14" s="1" t="s">
        <v>4</v>
      </c>
      <c r="D14" s="2">
        <v>2087</v>
      </c>
      <c r="F14" s="6">
        <f t="shared" si="0"/>
        <v>2087</v>
      </c>
    </row>
    <row r="15" spans="1:18" x14ac:dyDescent="0.25">
      <c r="B15" s="3">
        <v>45723</v>
      </c>
      <c r="C15" s="1" t="s">
        <v>16</v>
      </c>
      <c r="D15" s="2">
        <v>2863</v>
      </c>
      <c r="F15" s="6">
        <f t="shared" si="0"/>
        <v>2863</v>
      </c>
    </row>
    <row r="16" spans="1:18" x14ac:dyDescent="0.25">
      <c r="A16" t="s">
        <v>12</v>
      </c>
      <c r="B16" s="3">
        <v>45724</v>
      </c>
      <c r="C16" s="1" t="s">
        <v>6</v>
      </c>
      <c r="D16" s="2">
        <v>1769</v>
      </c>
      <c r="F16" s="6">
        <f t="shared" si="0"/>
        <v>1769</v>
      </c>
    </row>
    <row r="17" spans="1:9" x14ac:dyDescent="0.25">
      <c r="B17" s="3">
        <v>45724</v>
      </c>
      <c r="C17" s="1" t="s">
        <v>16</v>
      </c>
      <c r="D17" s="2">
        <v>0</v>
      </c>
      <c r="F17" s="6">
        <f t="shared" si="0"/>
        <v>0</v>
      </c>
    </row>
    <row r="18" spans="1:9" x14ac:dyDescent="0.25">
      <c r="B18" s="3">
        <v>45724</v>
      </c>
      <c r="C18" s="1" t="s">
        <v>4</v>
      </c>
      <c r="D18" s="2">
        <v>3176</v>
      </c>
      <c r="F18" s="6">
        <f t="shared" si="0"/>
        <v>3176</v>
      </c>
    </row>
    <row r="19" spans="1:9" x14ac:dyDescent="0.25">
      <c r="A19" t="s">
        <v>13</v>
      </c>
      <c r="B19" s="3">
        <v>45725</v>
      </c>
      <c r="C19" s="1" t="s">
        <v>6</v>
      </c>
      <c r="D19" s="2">
        <v>2594</v>
      </c>
      <c r="F19" s="6">
        <f t="shared" si="0"/>
        <v>2594</v>
      </c>
    </row>
    <row r="20" spans="1:9" x14ac:dyDescent="0.25">
      <c r="B20" s="3">
        <v>45725</v>
      </c>
      <c r="C20" s="1" t="s">
        <v>4</v>
      </c>
      <c r="D20" s="2">
        <v>5952</v>
      </c>
      <c r="F20" s="6">
        <f t="shared" si="0"/>
        <v>5952</v>
      </c>
    </row>
    <row r="21" spans="1:9" x14ac:dyDescent="0.25">
      <c r="F21" s="6"/>
    </row>
    <row r="22" spans="1:9" x14ac:dyDescent="0.25">
      <c r="A22" t="s">
        <v>7</v>
      </c>
      <c r="B22" s="3">
        <v>45726</v>
      </c>
      <c r="C22" s="1" t="s">
        <v>3</v>
      </c>
      <c r="D22" s="2">
        <v>3838</v>
      </c>
      <c r="F22" s="6">
        <f t="shared" si="0"/>
        <v>3838</v>
      </c>
      <c r="H22" s="7" t="s">
        <v>18</v>
      </c>
      <c r="I22" s="16" t="s">
        <v>38</v>
      </c>
    </row>
    <row r="23" spans="1:9" x14ac:dyDescent="0.25">
      <c r="B23" s="3">
        <v>45726</v>
      </c>
      <c r="C23" s="1" t="s">
        <v>4</v>
      </c>
      <c r="D23" s="2">
        <v>4597</v>
      </c>
      <c r="F23" s="6">
        <f t="shared" si="0"/>
        <v>4597</v>
      </c>
      <c r="H23" s="8">
        <f>SUM(F22:F35)</f>
        <v>45334</v>
      </c>
    </row>
    <row r="24" spans="1:9" x14ac:dyDescent="0.25">
      <c r="A24" t="s">
        <v>8</v>
      </c>
      <c r="B24" s="3">
        <v>45727</v>
      </c>
      <c r="C24" s="1" t="s">
        <v>4</v>
      </c>
      <c r="D24" s="2">
        <v>5842</v>
      </c>
      <c r="F24" s="6">
        <f t="shared" si="0"/>
        <v>5842</v>
      </c>
    </row>
    <row r="25" spans="1:9" x14ac:dyDescent="0.25">
      <c r="A25" t="s">
        <v>9</v>
      </c>
      <c r="B25" s="3">
        <v>45728</v>
      </c>
      <c r="C25" s="1" t="s">
        <v>4</v>
      </c>
      <c r="D25" s="2">
        <v>2964</v>
      </c>
      <c r="F25" s="6">
        <f t="shared" si="0"/>
        <v>2964</v>
      </c>
    </row>
    <row r="26" spans="1:9" x14ac:dyDescent="0.25">
      <c r="A26" t="s">
        <v>21</v>
      </c>
      <c r="B26" s="3">
        <v>45729</v>
      </c>
      <c r="C26" s="1" t="s">
        <v>3</v>
      </c>
      <c r="D26" s="2">
        <v>1483</v>
      </c>
      <c r="F26" s="6">
        <f>D26+E26</f>
        <v>1483</v>
      </c>
    </row>
    <row r="27" spans="1:9" x14ac:dyDescent="0.25">
      <c r="B27" s="3">
        <v>45729</v>
      </c>
      <c r="C27" s="1" t="s">
        <v>4</v>
      </c>
      <c r="D27" s="2">
        <v>3813</v>
      </c>
      <c r="F27" s="6">
        <f t="shared" si="0"/>
        <v>3813</v>
      </c>
    </row>
    <row r="28" spans="1:9" x14ac:dyDescent="0.25">
      <c r="A28" t="s">
        <v>11</v>
      </c>
      <c r="B28" s="3">
        <v>45730</v>
      </c>
      <c r="C28" s="1" t="s">
        <v>4</v>
      </c>
      <c r="D28" s="2">
        <v>5385</v>
      </c>
      <c r="F28" s="6">
        <f t="shared" si="0"/>
        <v>5385</v>
      </c>
    </row>
    <row r="29" spans="1:9" x14ac:dyDescent="0.25">
      <c r="B29" s="3">
        <v>45730</v>
      </c>
      <c r="C29" s="1" t="s">
        <v>16</v>
      </c>
      <c r="D29" s="2">
        <v>3998</v>
      </c>
      <c r="F29" s="6">
        <f t="shared" si="0"/>
        <v>3998</v>
      </c>
    </row>
    <row r="30" spans="1:9" x14ac:dyDescent="0.25">
      <c r="A30" t="s">
        <v>12</v>
      </c>
      <c r="B30" s="3">
        <v>45731</v>
      </c>
      <c r="C30" s="1" t="s">
        <v>6</v>
      </c>
      <c r="D30" s="2">
        <v>3125</v>
      </c>
      <c r="F30" s="6">
        <f t="shared" si="0"/>
        <v>3125</v>
      </c>
    </row>
    <row r="31" spans="1:9" x14ac:dyDescent="0.25">
      <c r="B31" s="3">
        <v>45731</v>
      </c>
      <c r="C31" s="1" t="s">
        <v>4</v>
      </c>
      <c r="D31" s="2">
        <v>2016</v>
      </c>
      <c r="F31" s="6">
        <f t="shared" si="0"/>
        <v>2016</v>
      </c>
    </row>
    <row r="32" spans="1:9" x14ac:dyDescent="0.25">
      <c r="B32" s="3">
        <v>45731</v>
      </c>
      <c r="C32" s="1" t="s">
        <v>16</v>
      </c>
      <c r="D32" s="2">
        <v>3141</v>
      </c>
      <c r="F32" s="6">
        <f t="shared" si="0"/>
        <v>3141</v>
      </c>
    </row>
    <row r="33" spans="1:9" x14ac:dyDescent="0.25">
      <c r="A33" t="s">
        <v>13</v>
      </c>
      <c r="B33" s="3">
        <v>45732</v>
      </c>
      <c r="C33" s="1" t="s">
        <v>6</v>
      </c>
      <c r="D33" s="2">
        <v>2462</v>
      </c>
      <c r="F33" s="6">
        <f t="shared" si="0"/>
        <v>2462</v>
      </c>
    </row>
    <row r="34" spans="1:9" x14ac:dyDescent="0.25">
      <c r="B34" s="3">
        <v>45732</v>
      </c>
      <c r="C34" s="1" t="s">
        <v>4</v>
      </c>
      <c r="D34" s="2">
        <v>2670</v>
      </c>
      <c r="F34" s="6">
        <f t="shared" si="0"/>
        <v>2670</v>
      </c>
    </row>
    <row r="35" spans="1:9" x14ac:dyDescent="0.25">
      <c r="B35" s="3">
        <v>45732</v>
      </c>
      <c r="C35" s="1" t="s">
        <v>15</v>
      </c>
      <c r="D35" s="2">
        <v>0</v>
      </c>
      <c r="F35" s="6">
        <f t="shared" si="0"/>
        <v>0</v>
      </c>
    </row>
    <row r="36" spans="1:9" x14ac:dyDescent="0.25">
      <c r="F36" s="6"/>
    </row>
    <row r="37" spans="1:9" x14ac:dyDescent="0.25">
      <c r="A37" t="s">
        <v>7</v>
      </c>
      <c r="B37" s="3">
        <v>45733</v>
      </c>
      <c r="C37" s="1" t="s">
        <v>3</v>
      </c>
      <c r="D37" s="2">
        <v>3194</v>
      </c>
      <c r="F37" s="6">
        <f t="shared" si="0"/>
        <v>3194</v>
      </c>
      <c r="H37" s="7" t="s">
        <v>19</v>
      </c>
      <c r="I37" s="16" t="s">
        <v>39</v>
      </c>
    </row>
    <row r="38" spans="1:9" x14ac:dyDescent="0.25">
      <c r="B38" s="3">
        <v>45733</v>
      </c>
      <c r="C38" s="1" t="s">
        <v>4</v>
      </c>
      <c r="D38" s="2">
        <v>3005</v>
      </c>
      <c r="F38" s="6">
        <f t="shared" si="0"/>
        <v>3005</v>
      </c>
      <c r="H38" s="9">
        <f>SUM(F37:F48)</f>
        <v>26206</v>
      </c>
    </row>
    <row r="39" spans="1:9" x14ac:dyDescent="0.25">
      <c r="A39" t="s">
        <v>8</v>
      </c>
      <c r="B39" s="3">
        <v>45734</v>
      </c>
      <c r="C39" s="1" t="s">
        <v>4</v>
      </c>
      <c r="D39" s="2">
        <v>1480</v>
      </c>
      <c r="F39" s="6">
        <f t="shared" si="0"/>
        <v>1480</v>
      </c>
    </row>
    <row r="40" spans="1:9" x14ac:dyDescent="0.25">
      <c r="A40" t="s">
        <v>9</v>
      </c>
      <c r="B40" s="3">
        <v>45735</v>
      </c>
      <c r="C40" s="1" t="s">
        <v>20</v>
      </c>
      <c r="D40" s="2">
        <v>1955</v>
      </c>
      <c r="F40" s="6">
        <f t="shared" si="0"/>
        <v>1955</v>
      </c>
    </row>
    <row r="41" spans="1:9" x14ac:dyDescent="0.25">
      <c r="A41" t="s">
        <v>21</v>
      </c>
      <c r="B41" s="3">
        <v>45736</v>
      </c>
      <c r="C41" s="1" t="s">
        <v>4</v>
      </c>
      <c r="D41" s="2">
        <v>2515</v>
      </c>
      <c r="F41" s="6">
        <f t="shared" si="0"/>
        <v>2515</v>
      </c>
    </row>
    <row r="42" spans="1:9" x14ac:dyDescent="0.25">
      <c r="B42" s="3">
        <v>45736</v>
      </c>
      <c r="C42" s="1" t="s">
        <v>3</v>
      </c>
      <c r="D42" s="2">
        <v>1523</v>
      </c>
      <c r="F42" s="6">
        <f t="shared" si="0"/>
        <v>1523</v>
      </c>
    </row>
    <row r="43" spans="1:9" x14ac:dyDescent="0.25">
      <c r="A43" t="s">
        <v>11</v>
      </c>
      <c r="B43" s="3">
        <v>45737</v>
      </c>
      <c r="C43" s="1" t="s">
        <v>4</v>
      </c>
      <c r="D43" s="2">
        <v>2119</v>
      </c>
      <c r="F43" s="6">
        <f t="shared" si="0"/>
        <v>2119</v>
      </c>
    </row>
    <row r="44" spans="1:9" x14ac:dyDescent="0.25">
      <c r="B44" s="3">
        <v>45737</v>
      </c>
      <c r="C44" s="1" t="s">
        <v>16</v>
      </c>
      <c r="D44" s="2">
        <v>2697</v>
      </c>
      <c r="F44" s="6">
        <f t="shared" si="0"/>
        <v>2697</v>
      </c>
    </row>
    <row r="45" spans="1:9" x14ac:dyDescent="0.25">
      <c r="A45" t="s">
        <v>12</v>
      </c>
      <c r="B45" s="3">
        <v>45738</v>
      </c>
      <c r="C45" s="1" t="s">
        <v>6</v>
      </c>
      <c r="D45" s="2">
        <v>1069</v>
      </c>
      <c r="F45" s="6">
        <f t="shared" si="0"/>
        <v>1069</v>
      </c>
    </row>
    <row r="46" spans="1:9" x14ac:dyDescent="0.25">
      <c r="B46" s="3">
        <v>45738</v>
      </c>
      <c r="C46" s="1" t="s">
        <v>4</v>
      </c>
      <c r="D46" s="2">
        <v>1583</v>
      </c>
      <c r="F46" s="6">
        <f t="shared" si="0"/>
        <v>1583</v>
      </c>
    </row>
    <row r="47" spans="1:9" x14ac:dyDescent="0.25">
      <c r="B47" s="3">
        <v>45738</v>
      </c>
      <c r="C47" s="1" t="s">
        <v>16</v>
      </c>
      <c r="D47" s="2">
        <v>3283</v>
      </c>
      <c r="F47" s="6">
        <f t="shared" si="0"/>
        <v>3283</v>
      </c>
    </row>
    <row r="48" spans="1:9" x14ac:dyDescent="0.25">
      <c r="A48" t="s">
        <v>13</v>
      </c>
      <c r="B48" s="3">
        <v>45739</v>
      </c>
      <c r="C48" s="1" t="s">
        <v>4</v>
      </c>
      <c r="D48" s="2">
        <v>1783</v>
      </c>
      <c r="F48" s="6">
        <f t="shared" si="0"/>
        <v>1783</v>
      </c>
    </row>
    <row r="49" spans="1:9" x14ac:dyDescent="0.25">
      <c r="F49" s="6"/>
    </row>
    <row r="50" spans="1:9" x14ac:dyDescent="0.25">
      <c r="A50" t="s">
        <v>7</v>
      </c>
      <c r="B50" s="3">
        <v>45740</v>
      </c>
      <c r="C50" s="1" t="s">
        <v>3</v>
      </c>
      <c r="D50" s="2">
        <v>2993</v>
      </c>
      <c r="F50" s="6">
        <f t="shared" si="0"/>
        <v>2993</v>
      </c>
      <c r="H50" s="7" t="s">
        <v>23</v>
      </c>
      <c r="I50" s="16" t="s">
        <v>40</v>
      </c>
    </row>
    <row r="51" spans="1:9" x14ac:dyDescent="0.25">
      <c r="B51" s="3">
        <v>45740</v>
      </c>
      <c r="C51" s="1" t="s">
        <v>4</v>
      </c>
      <c r="D51" s="2">
        <v>1868</v>
      </c>
      <c r="F51" s="6">
        <f t="shared" si="0"/>
        <v>1868</v>
      </c>
      <c r="H51" s="8">
        <f>SUM(F50:F62)</f>
        <v>28981</v>
      </c>
    </row>
    <row r="52" spans="1:9" x14ac:dyDescent="0.25">
      <c r="A52" t="s">
        <v>8</v>
      </c>
      <c r="B52" s="3">
        <v>45741</v>
      </c>
      <c r="C52" s="1" t="s">
        <v>4</v>
      </c>
      <c r="D52" s="2">
        <v>1902</v>
      </c>
      <c r="F52" s="6">
        <f t="shared" si="0"/>
        <v>1902</v>
      </c>
    </row>
    <row r="53" spans="1:9" x14ac:dyDescent="0.25">
      <c r="A53" t="s">
        <v>9</v>
      </c>
      <c r="B53" s="3">
        <v>45742</v>
      </c>
      <c r="C53" s="1" t="s">
        <v>4</v>
      </c>
      <c r="D53" s="2">
        <v>1865</v>
      </c>
      <c r="F53" s="6">
        <f t="shared" si="0"/>
        <v>1865</v>
      </c>
    </row>
    <row r="54" spans="1:9" x14ac:dyDescent="0.25">
      <c r="A54" t="s">
        <v>21</v>
      </c>
      <c r="B54" s="3">
        <v>45743</v>
      </c>
      <c r="C54" s="1" t="s">
        <v>4</v>
      </c>
      <c r="D54" s="2">
        <v>2248</v>
      </c>
      <c r="F54" s="6">
        <f t="shared" si="0"/>
        <v>2248</v>
      </c>
    </row>
    <row r="55" spans="1:9" x14ac:dyDescent="0.25">
      <c r="B55" s="3">
        <v>45743</v>
      </c>
      <c r="C55" s="1" t="s">
        <v>3</v>
      </c>
      <c r="D55" s="2">
        <v>1685</v>
      </c>
      <c r="F55" s="6">
        <f t="shared" si="0"/>
        <v>1685</v>
      </c>
    </row>
    <row r="56" spans="1:9" x14ac:dyDescent="0.25">
      <c r="A56" t="s">
        <v>11</v>
      </c>
      <c r="B56" s="3">
        <v>45744</v>
      </c>
      <c r="C56" s="1" t="s">
        <v>4</v>
      </c>
      <c r="D56" s="2">
        <v>2405</v>
      </c>
      <c r="F56" s="6">
        <f t="shared" si="0"/>
        <v>2405</v>
      </c>
    </row>
    <row r="57" spans="1:9" x14ac:dyDescent="0.25">
      <c r="B57" s="3">
        <v>45744</v>
      </c>
      <c r="C57" s="1" t="s">
        <v>16</v>
      </c>
      <c r="D57" s="2">
        <v>3815</v>
      </c>
      <c r="F57" s="6">
        <f t="shared" si="0"/>
        <v>3815</v>
      </c>
    </row>
    <row r="58" spans="1:9" x14ac:dyDescent="0.25">
      <c r="A58" t="s">
        <v>12</v>
      </c>
      <c r="B58" s="3">
        <v>45745</v>
      </c>
      <c r="C58" s="1" t="s">
        <v>6</v>
      </c>
      <c r="D58" s="2">
        <v>785</v>
      </c>
      <c r="F58" s="6">
        <f t="shared" si="0"/>
        <v>785</v>
      </c>
    </row>
    <row r="59" spans="1:9" x14ac:dyDescent="0.25">
      <c r="B59" s="3">
        <v>45745</v>
      </c>
      <c r="C59" s="1" t="s">
        <v>4</v>
      </c>
      <c r="D59" s="2">
        <v>1738</v>
      </c>
      <c r="F59" s="6">
        <f t="shared" si="0"/>
        <v>1738</v>
      </c>
    </row>
    <row r="60" spans="1:9" x14ac:dyDescent="0.25">
      <c r="B60" s="3">
        <v>45745</v>
      </c>
      <c r="C60" s="1" t="s">
        <v>16</v>
      </c>
      <c r="D60" s="2">
        <v>2789</v>
      </c>
      <c r="F60" s="6">
        <f t="shared" ref="F60:F78" si="2">D60+E60</f>
        <v>2789</v>
      </c>
    </row>
    <row r="61" spans="1:9" x14ac:dyDescent="0.25">
      <c r="A61" t="s">
        <v>13</v>
      </c>
      <c r="B61" s="3">
        <v>45746</v>
      </c>
      <c r="C61" s="1" t="s">
        <v>6</v>
      </c>
      <c r="D61" s="2">
        <v>1534</v>
      </c>
      <c r="F61" s="6">
        <f t="shared" si="2"/>
        <v>1534</v>
      </c>
    </row>
    <row r="62" spans="1:9" x14ac:dyDescent="0.25">
      <c r="B62" s="3">
        <v>45746</v>
      </c>
      <c r="C62" s="1" t="s">
        <v>4</v>
      </c>
      <c r="D62" s="2">
        <v>3354</v>
      </c>
      <c r="F62" s="6">
        <f t="shared" si="2"/>
        <v>3354</v>
      </c>
    </row>
    <row r="63" spans="1:9" x14ac:dyDescent="0.25">
      <c r="F63" s="6"/>
    </row>
    <row r="64" spans="1:9" x14ac:dyDescent="0.25">
      <c r="A64" t="s">
        <v>7</v>
      </c>
      <c r="B64" s="3">
        <v>45747</v>
      </c>
      <c r="C64" s="1" t="s">
        <v>3</v>
      </c>
      <c r="D64" s="2">
        <v>2467</v>
      </c>
      <c r="F64" s="6">
        <f t="shared" si="2"/>
        <v>2467</v>
      </c>
      <c r="H64" s="7" t="s">
        <v>24</v>
      </c>
      <c r="I64" s="16" t="s">
        <v>41</v>
      </c>
    </row>
    <row r="65" spans="1:8" x14ac:dyDescent="0.25">
      <c r="B65" s="3">
        <v>45747</v>
      </c>
      <c r="C65" s="1" t="s">
        <v>4</v>
      </c>
      <c r="D65" s="2">
        <v>2778</v>
      </c>
      <c r="F65" s="6">
        <f t="shared" si="2"/>
        <v>2778</v>
      </c>
      <c r="H65" s="8">
        <f>SUM(F64:F85)</f>
        <v>5245</v>
      </c>
    </row>
    <row r="66" spans="1:8" x14ac:dyDescent="0.25">
      <c r="A66" t="s">
        <v>8</v>
      </c>
      <c r="B66" s="3">
        <v>45685</v>
      </c>
      <c r="C66" s="1" t="s">
        <v>4</v>
      </c>
      <c r="D66" s="2">
        <v>0</v>
      </c>
      <c r="F66" s="6">
        <f t="shared" si="2"/>
        <v>0</v>
      </c>
    </row>
    <row r="67" spans="1:8" x14ac:dyDescent="0.25">
      <c r="B67" s="3">
        <v>45685</v>
      </c>
      <c r="C67" s="1" t="s">
        <v>15</v>
      </c>
      <c r="D67" s="2">
        <v>0</v>
      </c>
      <c r="F67" s="6">
        <f t="shared" si="2"/>
        <v>0</v>
      </c>
    </row>
    <row r="68" spans="1:8" x14ac:dyDescent="0.25">
      <c r="B68" s="3">
        <v>45685</v>
      </c>
      <c r="C68" s="1" t="s">
        <v>27</v>
      </c>
      <c r="D68" s="2">
        <v>0</v>
      </c>
      <c r="F68" s="6">
        <f t="shared" si="2"/>
        <v>0</v>
      </c>
    </row>
    <row r="69" spans="1:8" x14ac:dyDescent="0.25">
      <c r="A69" t="s">
        <v>9</v>
      </c>
      <c r="B69" s="3">
        <v>45686</v>
      </c>
      <c r="C69" s="1" t="s">
        <v>4</v>
      </c>
      <c r="D69" s="2">
        <v>0</v>
      </c>
      <c r="F69" s="6">
        <f t="shared" si="2"/>
        <v>0</v>
      </c>
    </row>
    <row r="70" spans="1:8" x14ac:dyDescent="0.25">
      <c r="B70" s="3">
        <v>45686</v>
      </c>
      <c r="C70" s="1" t="s">
        <v>15</v>
      </c>
      <c r="D70" s="2">
        <v>0</v>
      </c>
      <c r="F70" s="6">
        <f t="shared" si="2"/>
        <v>0</v>
      </c>
    </row>
    <row r="71" spans="1:8" x14ac:dyDescent="0.25">
      <c r="B71" s="3">
        <v>45686</v>
      </c>
      <c r="C71" s="1" t="s">
        <v>27</v>
      </c>
      <c r="D71" s="2">
        <v>0</v>
      </c>
      <c r="F71" s="6">
        <f t="shared" si="2"/>
        <v>0</v>
      </c>
    </row>
    <row r="72" spans="1:8" x14ac:dyDescent="0.25">
      <c r="A72" t="s">
        <v>21</v>
      </c>
      <c r="B72" s="3">
        <v>45687</v>
      </c>
      <c r="C72" s="1" t="s">
        <v>4</v>
      </c>
      <c r="D72" s="2">
        <v>0</v>
      </c>
      <c r="F72" s="6">
        <f t="shared" si="2"/>
        <v>0</v>
      </c>
    </row>
    <row r="73" spans="1:8" x14ac:dyDescent="0.25">
      <c r="B73" s="3">
        <v>45687</v>
      </c>
      <c r="C73" s="1" t="s">
        <v>15</v>
      </c>
      <c r="F73" s="6">
        <f t="shared" si="2"/>
        <v>0</v>
      </c>
    </row>
    <row r="74" spans="1:8" x14ac:dyDescent="0.25">
      <c r="B74" s="3">
        <v>45687</v>
      </c>
      <c r="C74" s="1" t="s">
        <v>27</v>
      </c>
      <c r="D74" s="2">
        <v>0</v>
      </c>
      <c r="F74" s="6">
        <f t="shared" si="2"/>
        <v>0</v>
      </c>
    </row>
    <row r="75" spans="1:8" x14ac:dyDescent="0.25">
      <c r="A75" t="s">
        <v>11</v>
      </c>
      <c r="B75" s="3">
        <v>45688</v>
      </c>
      <c r="C75" s="1" t="s">
        <v>4</v>
      </c>
      <c r="F75" s="6">
        <f t="shared" si="2"/>
        <v>0</v>
      </c>
    </row>
    <row r="76" spans="1:8" x14ac:dyDescent="0.25">
      <c r="B76" s="3">
        <v>45688</v>
      </c>
      <c r="C76" s="1" t="s">
        <v>15</v>
      </c>
      <c r="D76" s="2">
        <v>0</v>
      </c>
      <c r="F76" s="6">
        <f t="shared" si="2"/>
        <v>0</v>
      </c>
    </row>
    <row r="77" spans="1:8" x14ac:dyDescent="0.25">
      <c r="B77" s="3">
        <v>45688</v>
      </c>
      <c r="C77" s="1" t="s">
        <v>16</v>
      </c>
      <c r="D77" s="2">
        <v>0</v>
      </c>
      <c r="F77" s="6">
        <f t="shared" si="2"/>
        <v>0</v>
      </c>
    </row>
    <row r="78" spans="1:8" x14ac:dyDescent="0.25">
      <c r="B78" s="3">
        <v>45688</v>
      </c>
      <c r="C78" s="1" t="s">
        <v>27</v>
      </c>
      <c r="D78" s="2">
        <v>0</v>
      </c>
      <c r="F78" s="6">
        <f t="shared" si="2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7A470-DC85-B143-9D32-BA5109275799}">
  <sheetPr>
    <tabColor theme="4"/>
  </sheetPr>
  <dimension ref="A3:R64"/>
  <sheetViews>
    <sheetView workbookViewId="0">
      <selection activeCell="H70" sqref="H70"/>
    </sheetView>
  </sheetViews>
  <sheetFormatPr baseColWidth="10" defaultRowHeight="19" x14ac:dyDescent="0.25"/>
  <cols>
    <col min="2" max="2" width="13.6640625" style="3" customWidth="1"/>
    <col min="3" max="3" width="19.83203125" style="1" customWidth="1"/>
    <col min="4" max="4" width="10.83203125" style="2"/>
    <col min="5" max="6" width="10.83203125" style="1"/>
    <col min="10" max="10" width="13.6640625" customWidth="1"/>
  </cols>
  <sheetData>
    <row r="3" spans="1:18" x14ac:dyDescent="0.25">
      <c r="B3" s="3" t="s">
        <v>0</v>
      </c>
      <c r="C3" s="1" t="s">
        <v>1</v>
      </c>
      <c r="D3" s="2" t="s">
        <v>2</v>
      </c>
      <c r="E3" s="1" t="s">
        <v>25</v>
      </c>
      <c r="F3" s="1" t="s">
        <v>26</v>
      </c>
    </row>
    <row r="4" spans="1:18" x14ac:dyDescent="0.25">
      <c r="A4" t="s">
        <v>9</v>
      </c>
      <c r="B4" s="3">
        <v>45749</v>
      </c>
      <c r="C4" s="1" t="s">
        <v>20</v>
      </c>
      <c r="D4" s="2">
        <v>2321</v>
      </c>
      <c r="F4" s="6">
        <f t="shared" ref="F4:F54" si="0">D4+E4</f>
        <v>2321</v>
      </c>
      <c r="H4" s="7" t="s">
        <v>17</v>
      </c>
      <c r="I4" s="16" t="s">
        <v>41</v>
      </c>
      <c r="J4" s="7" t="s">
        <v>14</v>
      </c>
      <c r="O4" s="15"/>
    </row>
    <row r="5" spans="1:18" x14ac:dyDescent="0.25">
      <c r="A5" t="s">
        <v>21</v>
      </c>
      <c r="B5" s="3">
        <v>45750</v>
      </c>
      <c r="C5" s="1" t="s">
        <v>4</v>
      </c>
      <c r="D5" s="2">
        <v>2235</v>
      </c>
      <c r="F5" s="6">
        <f t="shared" si="0"/>
        <v>2235</v>
      </c>
      <c r="H5" s="8">
        <f>SUM(F4:F13)</f>
        <v>21439</v>
      </c>
      <c r="J5" s="5">
        <f>SUM(F4:F64)</f>
        <v>91672</v>
      </c>
      <c r="P5" t="s">
        <v>28</v>
      </c>
      <c r="Q5" s="10" t="s">
        <v>29</v>
      </c>
      <c r="R5" s="10" t="s">
        <v>30</v>
      </c>
    </row>
    <row r="6" spans="1:18" x14ac:dyDescent="0.25">
      <c r="B6" s="3">
        <v>45750</v>
      </c>
      <c r="C6" s="1" t="s">
        <v>3</v>
      </c>
      <c r="D6" s="2">
        <v>1809</v>
      </c>
      <c r="F6" s="6">
        <f t="shared" si="0"/>
        <v>1809</v>
      </c>
      <c r="O6" t="s">
        <v>3</v>
      </c>
      <c r="P6">
        <v>4</v>
      </c>
      <c r="Q6" s="10">
        <f>D4+D15+D29+D38</f>
        <v>8047</v>
      </c>
      <c r="R6" s="14">
        <f>Q6/P6</f>
        <v>2011.75</v>
      </c>
    </row>
    <row r="7" spans="1:18" x14ac:dyDescent="0.25">
      <c r="A7" t="s">
        <v>11</v>
      </c>
      <c r="B7" s="3">
        <v>45751</v>
      </c>
      <c r="C7" s="1" t="s">
        <v>20</v>
      </c>
      <c r="D7" s="2">
        <v>3094</v>
      </c>
      <c r="F7" s="6">
        <f t="shared" si="0"/>
        <v>3094</v>
      </c>
      <c r="O7" t="s">
        <v>4</v>
      </c>
      <c r="P7">
        <v>31</v>
      </c>
      <c r="Q7" s="10" t="e">
        <f>D5+D7+D9+#REF!+#REF!+#REF!+D13+D16+D17+D18+D20+D21+D24+D30+D31+D32+D33+#REF!+D39+D40+D41+D42+D44+D47+D50+D53+D54+D55+D58</f>
        <v>#REF!</v>
      </c>
      <c r="R7" s="14" t="e">
        <f>Q7/P7</f>
        <v>#REF!</v>
      </c>
    </row>
    <row r="8" spans="1:18" x14ac:dyDescent="0.25">
      <c r="B8" s="3">
        <v>45751</v>
      </c>
      <c r="C8" s="1" t="s">
        <v>16</v>
      </c>
      <c r="D8" s="2">
        <v>3365</v>
      </c>
      <c r="F8" s="6">
        <f t="shared" si="0"/>
        <v>3365</v>
      </c>
      <c r="O8" t="s">
        <v>16</v>
      </c>
      <c r="P8">
        <v>3</v>
      </c>
      <c r="Q8" s="10" t="e">
        <f>#REF!+D11+D11+D18+D22+#REF!+D46</f>
        <v>#REF!</v>
      </c>
      <c r="R8" s="14" t="e">
        <f t="shared" ref="R8:R9" si="1">Q8/P8</f>
        <v>#REF!</v>
      </c>
    </row>
    <row r="9" spans="1:18" x14ac:dyDescent="0.25">
      <c r="A9" t="s">
        <v>12</v>
      </c>
      <c r="B9" s="3">
        <v>45752</v>
      </c>
      <c r="C9" s="1" t="s">
        <v>6</v>
      </c>
      <c r="D9" s="2">
        <v>1135</v>
      </c>
      <c r="F9" s="6">
        <f t="shared" si="0"/>
        <v>1135</v>
      </c>
      <c r="O9" t="s">
        <v>6</v>
      </c>
      <c r="P9">
        <v>7</v>
      </c>
      <c r="Q9" s="10">
        <f>D10+D12+D23+D35+D36+D46</f>
        <v>8823</v>
      </c>
      <c r="R9" s="14">
        <f t="shared" si="1"/>
        <v>1260.4285714285713</v>
      </c>
    </row>
    <row r="10" spans="1:18" x14ac:dyDescent="0.25">
      <c r="B10" s="3">
        <v>45752</v>
      </c>
      <c r="C10" s="1" t="s">
        <v>16</v>
      </c>
      <c r="D10" s="2">
        <v>2455</v>
      </c>
      <c r="F10" s="6">
        <f t="shared" si="0"/>
        <v>2455</v>
      </c>
    </row>
    <row r="11" spans="1:18" x14ac:dyDescent="0.25">
      <c r="B11" s="3">
        <v>45752</v>
      </c>
      <c r="C11" s="1" t="s">
        <v>20</v>
      </c>
      <c r="D11" s="2">
        <v>1843</v>
      </c>
      <c r="F11" s="6">
        <f t="shared" si="0"/>
        <v>1843</v>
      </c>
    </row>
    <row r="12" spans="1:18" x14ac:dyDescent="0.25">
      <c r="A12" t="s">
        <v>13</v>
      </c>
      <c r="B12" s="3">
        <v>45753</v>
      </c>
      <c r="C12" s="1" t="s">
        <v>6</v>
      </c>
      <c r="D12" s="2">
        <v>0</v>
      </c>
      <c r="F12" s="6">
        <f t="shared" si="0"/>
        <v>0</v>
      </c>
    </row>
    <row r="13" spans="1:18" x14ac:dyDescent="0.25">
      <c r="B13" s="3">
        <v>45753</v>
      </c>
      <c r="C13" s="1" t="s">
        <v>4</v>
      </c>
      <c r="D13" s="2">
        <v>3182</v>
      </c>
      <c r="F13" s="6">
        <f t="shared" si="0"/>
        <v>3182</v>
      </c>
    </row>
    <row r="14" spans="1:18" x14ac:dyDescent="0.25">
      <c r="F14" s="6"/>
    </row>
    <row r="15" spans="1:18" x14ac:dyDescent="0.25">
      <c r="A15" t="s">
        <v>7</v>
      </c>
      <c r="B15" s="3">
        <v>45754</v>
      </c>
      <c r="C15" s="1" t="s">
        <v>3</v>
      </c>
      <c r="D15" s="2">
        <v>1511</v>
      </c>
      <c r="F15" s="6">
        <f t="shared" si="0"/>
        <v>1511</v>
      </c>
      <c r="H15" s="7" t="s">
        <v>18</v>
      </c>
      <c r="I15" s="16" t="s">
        <v>42</v>
      </c>
    </row>
    <row r="16" spans="1:18" x14ac:dyDescent="0.25">
      <c r="B16" s="3">
        <v>45754</v>
      </c>
      <c r="C16" s="1" t="s">
        <v>4</v>
      </c>
      <c r="D16" s="2">
        <v>2415</v>
      </c>
      <c r="F16" s="6">
        <f t="shared" si="0"/>
        <v>2415</v>
      </c>
      <c r="H16" s="8">
        <f>SUM(F15:F27)</f>
        <v>25454</v>
      </c>
    </row>
    <row r="17" spans="1:9" x14ac:dyDescent="0.25">
      <c r="A17" t="s">
        <v>8</v>
      </c>
      <c r="B17" s="3">
        <v>45755</v>
      </c>
      <c r="C17" s="1" t="s">
        <v>4</v>
      </c>
      <c r="D17" s="2">
        <v>2625</v>
      </c>
      <c r="F17" s="6">
        <f t="shared" si="0"/>
        <v>2625</v>
      </c>
    </row>
    <row r="18" spans="1:9" x14ac:dyDescent="0.25">
      <c r="A18" t="s">
        <v>9</v>
      </c>
      <c r="B18" s="3">
        <v>45756</v>
      </c>
      <c r="C18" s="1" t="s">
        <v>4</v>
      </c>
      <c r="D18" s="2">
        <v>1783</v>
      </c>
      <c r="F18" s="6">
        <f t="shared" si="0"/>
        <v>1783</v>
      </c>
    </row>
    <row r="19" spans="1:9" x14ac:dyDescent="0.25">
      <c r="A19" t="s">
        <v>21</v>
      </c>
      <c r="B19" s="3">
        <v>45757</v>
      </c>
      <c r="C19" s="1" t="s">
        <v>3</v>
      </c>
      <c r="D19" s="2">
        <v>1629</v>
      </c>
      <c r="F19" s="6">
        <f>D19+E19</f>
        <v>1629</v>
      </c>
    </row>
    <row r="20" spans="1:9" x14ac:dyDescent="0.25">
      <c r="B20" s="3">
        <v>45757</v>
      </c>
      <c r="C20" s="1" t="s">
        <v>4</v>
      </c>
      <c r="D20" s="2">
        <v>1759</v>
      </c>
      <c r="F20" s="6">
        <f t="shared" si="0"/>
        <v>1759</v>
      </c>
    </row>
    <row r="21" spans="1:9" x14ac:dyDescent="0.25">
      <c r="A21" t="s">
        <v>11</v>
      </c>
      <c r="B21" s="3">
        <v>45758</v>
      </c>
      <c r="C21" s="1" t="s">
        <v>4</v>
      </c>
      <c r="D21" s="2">
        <v>2188</v>
      </c>
      <c r="F21" s="6">
        <f t="shared" si="0"/>
        <v>2188</v>
      </c>
    </row>
    <row r="22" spans="1:9" x14ac:dyDescent="0.25">
      <c r="B22" s="3">
        <v>45758</v>
      </c>
      <c r="C22" s="1" t="s">
        <v>16</v>
      </c>
      <c r="D22" s="2">
        <v>2451</v>
      </c>
      <c r="F22" s="6">
        <f t="shared" si="0"/>
        <v>2451</v>
      </c>
    </row>
    <row r="23" spans="1:9" x14ac:dyDescent="0.25">
      <c r="A23" t="s">
        <v>12</v>
      </c>
      <c r="B23" s="3">
        <v>45759</v>
      </c>
      <c r="C23" s="1" t="s">
        <v>6</v>
      </c>
      <c r="D23" s="2">
        <v>1475</v>
      </c>
      <c r="F23" s="6">
        <f t="shared" si="0"/>
        <v>1475</v>
      </c>
    </row>
    <row r="24" spans="1:9" x14ac:dyDescent="0.25">
      <c r="B24" s="3">
        <v>45759</v>
      </c>
      <c r="C24" s="1" t="s">
        <v>4</v>
      </c>
      <c r="D24" s="2">
        <v>1435</v>
      </c>
      <c r="F24" s="6">
        <f t="shared" si="0"/>
        <v>1435</v>
      </c>
    </row>
    <row r="25" spans="1:9" x14ac:dyDescent="0.25">
      <c r="B25" s="3">
        <v>45759</v>
      </c>
      <c r="C25" s="1" t="s">
        <v>16</v>
      </c>
      <c r="D25" s="2">
        <v>3144</v>
      </c>
      <c r="F25" s="6">
        <f t="shared" si="0"/>
        <v>3144</v>
      </c>
    </row>
    <row r="26" spans="1:9" x14ac:dyDescent="0.25">
      <c r="A26" t="s">
        <v>13</v>
      </c>
      <c r="B26" s="3">
        <v>45760</v>
      </c>
      <c r="C26" s="1" t="s">
        <v>6</v>
      </c>
      <c r="D26" s="2">
        <v>1710</v>
      </c>
      <c r="F26" s="6">
        <f t="shared" si="0"/>
        <v>1710</v>
      </c>
    </row>
    <row r="27" spans="1:9" x14ac:dyDescent="0.25">
      <c r="B27" s="3">
        <v>45760</v>
      </c>
      <c r="C27" s="1" t="s">
        <v>4</v>
      </c>
      <c r="D27" s="2">
        <v>1329</v>
      </c>
      <c r="F27" s="6">
        <f t="shared" si="0"/>
        <v>1329</v>
      </c>
    </row>
    <row r="28" spans="1:9" x14ac:dyDescent="0.25">
      <c r="F28" s="6"/>
    </row>
    <row r="29" spans="1:9" x14ac:dyDescent="0.25">
      <c r="A29" t="s">
        <v>7</v>
      </c>
      <c r="B29" s="3">
        <v>45761</v>
      </c>
      <c r="C29" s="1" t="s">
        <v>3</v>
      </c>
      <c r="D29" s="2">
        <v>1685</v>
      </c>
      <c r="F29" s="6">
        <f t="shared" si="0"/>
        <v>1685</v>
      </c>
      <c r="H29" s="7" t="s">
        <v>19</v>
      </c>
      <c r="I29" s="16" t="s">
        <v>43</v>
      </c>
    </row>
    <row r="30" spans="1:9" x14ac:dyDescent="0.25">
      <c r="B30" s="3">
        <v>45761</v>
      </c>
      <c r="C30" s="1" t="s">
        <v>4</v>
      </c>
      <c r="D30" s="2">
        <v>1500</v>
      </c>
      <c r="F30" s="6">
        <f t="shared" si="0"/>
        <v>1500</v>
      </c>
      <c r="H30" s="9">
        <f>SUM(F29:F36)</f>
        <v>11934</v>
      </c>
    </row>
    <row r="31" spans="1:9" x14ac:dyDescent="0.25">
      <c r="A31" t="s">
        <v>8</v>
      </c>
      <c r="B31" s="3">
        <v>45762</v>
      </c>
      <c r="C31" s="1" t="s">
        <v>4</v>
      </c>
      <c r="D31" s="2">
        <v>1324</v>
      </c>
      <c r="F31" s="6">
        <f t="shared" si="0"/>
        <v>1324</v>
      </c>
    </row>
    <row r="32" spans="1:9" x14ac:dyDescent="0.25">
      <c r="A32" t="s">
        <v>9</v>
      </c>
      <c r="B32" s="3">
        <v>45763</v>
      </c>
      <c r="C32" s="1" t="s">
        <v>20</v>
      </c>
      <c r="D32" s="2">
        <v>1481</v>
      </c>
      <c r="F32" s="6">
        <f t="shared" si="0"/>
        <v>1481</v>
      </c>
    </row>
    <row r="33" spans="1:9" x14ac:dyDescent="0.25">
      <c r="A33" t="s">
        <v>21</v>
      </c>
      <c r="B33" s="3">
        <v>45764</v>
      </c>
      <c r="C33" s="1" t="s">
        <v>4</v>
      </c>
      <c r="D33" s="2">
        <v>1426</v>
      </c>
      <c r="F33" s="6">
        <f t="shared" si="0"/>
        <v>1426</v>
      </c>
    </row>
    <row r="34" spans="1:9" x14ac:dyDescent="0.25">
      <c r="A34" t="s">
        <v>11</v>
      </c>
      <c r="B34" s="3">
        <v>45765</v>
      </c>
      <c r="C34" s="1" t="s">
        <v>4</v>
      </c>
      <c r="D34" s="2">
        <v>1077</v>
      </c>
      <c r="F34" s="6">
        <f t="shared" si="0"/>
        <v>1077</v>
      </c>
    </row>
    <row r="35" spans="1:9" x14ac:dyDescent="0.25">
      <c r="A35" t="s">
        <v>12</v>
      </c>
      <c r="B35" s="3">
        <v>45766</v>
      </c>
      <c r="C35" s="1" t="s">
        <v>4</v>
      </c>
      <c r="D35" s="2">
        <v>1731</v>
      </c>
      <c r="F35" s="6">
        <f t="shared" si="0"/>
        <v>1731</v>
      </c>
    </row>
    <row r="36" spans="1:9" x14ac:dyDescent="0.25">
      <c r="A36" t="s">
        <v>13</v>
      </c>
      <c r="B36" s="3">
        <v>45767</v>
      </c>
      <c r="C36" s="1" t="s">
        <v>4</v>
      </c>
      <c r="D36" s="2">
        <v>1710</v>
      </c>
      <c r="F36" s="6">
        <f t="shared" si="0"/>
        <v>1710</v>
      </c>
    </row>
    <row r="37" spans="1:9" x14ac:dyDescent="0.25">
      <c r="F37" s="6"/>
    </row>
    <row r="38" spans="1:9" x14ac:dyDescent="0.25">
      <c r="A38" t="s">
        <v>7</v>
      </c>
      <c r="B38" s="3">
        <v>45768</v>
      </c>
      <c r="C38" s="1" t="s">
        <v>3</v>
      </c>
      <c r="D38" s="2">
        <v>2530</v>
      </c>
      <c r="F38" s="6">
        <f t="shared" si="0"/>
        <v>2530</v>
      </c>
      <c r="H38" s="7" t="s">
        <v>23</v>
      </c>
      <c r="I38" s="16" t="s">
        <v>44</v>
      </c>
    </row>
    <row r="39" spans="1:9" x14ac:dyDescent="0.25">
      <c r="B39" s="3">
        <v>45768</v>
      </c>
      <c r="C39" s="1" t="s">
        <v>4</v>
      </c>
      <c r="D39" s="2">
        <v>2028</v>
      </c>
      <c r="F39" s="6">
        <f t="shared" si="0"/>
        <v>2028</v>
      </c>
      <c r="H39" s="8">
        <f>SUM(F38:F50)</f>
        <v>27852</v>
      </c>
    </row>
    <row r="40" spans="1:9" x14ac:dyDescent="0.25">
      <c r="A40" t="s">
        <v>8</v>
      </c>
      <c r="B40" s="3">
        <v>45769</v>
      </c>
      <c r="C40" s="1" t="s">
        <v>4</v>
      </c>
      <c r="D40" s="2">
        <v>1999</v>
      </c>
      <c r="F40" s="6">
        <f t="shared" si="0"/>
        <v>1999</v>
      </c>
    </row>
    <row r="41" spans="1:9" x14ac:dyDescent="0.25">
      <c r="A41" t="s">
        <v>9</v>
      </c>
      <c r="B41" s="3">
        <v>45770</v>
      </c>
      <c r="C41" s="1" t="s">
        <v>4</v>
      </c>
      <c r="D41" s="2">
        <v>2563</v>
      </c>
      <c r="F41" s="6">
        <f t="shared" si="0"/>
        <v>2563</v>
      </c>
    </row>
    <row r="42" spans="1:9" x14ac:dyDescent="0.25">
      <c r="A42" t="s">
        <v>21</v>
      </c>
      <c r="B42" s="3">
        <v>45771</v>
      </c>
      <c r="C42" s="1" t="s">
        <v>4</v>
      </c>
      <c r="D42" s="2">
        <v>1901</v>
      </c>
      <c r="F42" s="6">
        <f t="shared" si="0"/>
        <v>1901</v>
      </c>
    </row>
    <row r="43" spans="1:9" x14ac:dyDescent="0.25">
      <c r="B43" s="3">
        <v>45771</v>
      </c>
      <c r="C43" s="1" t="s">
        <v>3</v>
      </c>
      <c r="D43" s="2">
        <v>1530</v>
      </c>
      <c r="F43" s="6">
        <f t="shared" si="0"/>
        <v>1530</v>
      </c>
    </row>
    <row r="44" spans="1:9" x14ac:dyDescent="0.25">
      <c r="A44" t="s">
        <v>11</v>
      </c>
      <c r="B44" s="3">
        <v>45772</v>
      </c>
      <c r="C44" s="1" t="s">
        <v>4</v>
      </c>
      <c r="D44" s="2">
        <v>2455</v>
      </c>
      <c r="F44" s="6">
        <f t="shared" si="0"/>
        <v>2455</v>
      </c>
    </row>
    <row r="45" spans="1:9" x14ac:dyDescent="0.25">
      <c r="B45" s="3">
        <v>45772</v>
      </c>
      <c r="C45" s="1" t="s">
        <v>16</v>
      </c>
      <c r="D45" s="2">
        <v>3138</v>
      </c>
      <c r="F45" s="6">
        <f t="shared" si="0"/>
        <v>3138</v>
      </c>
    </row>
    <row r="46" spans="1:9" x14ac:dyDescent="0.25">
      <c r="A46" t="s">
        <v>12</v>
      </c>
      <c r="B46" s="3">
        <v>45773</v>
      </c>
      <c r="C46" s="1" t="s">
        <v>6</v>
      </c>
      <c r="D46" s="2">
        <v>1452</v>
      </c>
      <c r="F46" s="6">
        <f t="shared" si="0"/>
        <v>1452</v>
      </c>
    </row>
    <row r="47" spans="1:9" x14ac:dyDescent="0.25">
      <c r="B47" s="3">
        <v>45773</v>
      </c>
      <c r="C47" s="1" t="s">
        <v>4</v>
      </c>
      <c r="D47" s="2">
        <v>3447</v>
      </c>
      <c r="F47" s="6">
        <f t="shared" si="0"/>
        <v>3447</v>
      </c>
    </row>
    <row r="48" spans="1:9" x14ac:dyDescent="0.25">
      <c r="B48" s="3">
        <v>45773</v>
      </c>
      <c r="C48" s="1" t="s">
        <v>16</v>
      </c>
      <c r="D48" s="2">
        <v>2833</v>
      </c>
      <c r="F48" s="6">
        <f t="shared" si="0"/>
        <v>2833</v>
      </c>
    </row>
    <row r="49" spans="1:9" x14ac:dyDescent="0.25">
      <c r="A49" t="s">
        <v>13</v>
      </c>
      <c r="B49" s="3">
        <v>45774</v>
      </c>
      <c r="C49" s="1" t="s">
        <v>6</v>
      </c>
      <c r="D49" s="2">
        <v>0</v>
      </c>
      <c r="F49" s="6">
        <f t="shared" si="0"/>
        <v>0</v>
      </c>
    </row>
    <row r="50" spans="1:9" x14ac:dyDescent="0.25">
      <c r="B50" s="3">
        <v>45774</v>
      </c>
      <c r="C50" s="1" t="s">
        <v>4</v>
      </c>
      <c r="D50" s="2">
        <v>1976</v>
      </c>
      <c r="F50" s="6">
        <f t="shared" si="0"/>
        <v>1976</v>
      </c>
    </row>
    <row r="51" spans="1:9" x14ac:dyDescent="0.25">
      <c r="F51" s="6"/>
    </row>
    <row r="52" spans="1:9" x14ac:dyDescent="0.25">
      <c r="A52" t="s">
        <v>7</v>
      </c>
      <c r="B52" s="3">
        <v>45775</v>
      </c>
      <c r="C52" s="1" t="s">
        <v>3</v>
      </c>
      <c r="D52" s="2">
        <v>0</v>
      </c>
      <c r="F52" s="6">
        <f t="shared" si="0"/>
        <v>0</v>
      </c>
      <c r="H52" s="7" t="s">
        <v>24</v>
      </c>
      <c r="I52" s="16" t="s">
        <v>41</v>
      </c>
    </row>
    <row r="53" spans="1:9" x14ac:dyDescent="0.25">
      <c r="B53" s="3">
        <v>45775</v>
      </c>
      <c r="C53" s="1" t="s">
        <v>4</v>
      </c>
      <c r="D53" s="2">
        <v>1765</v>
      </c>
      <c r="F53" s="6">
        <f t="shared" si="0"/>
        <v>1765</v>
      </c>
      <c r="H53" s="8">
        <f>SUM(F52:F71)</f>
        <v>4993</v>
      </c>
    </row>
    <row r="54" spans="1:9" x14ac:dyDescent="0.25">
      <c r="A54" t="s">
        <v>8</v>
      </c>
      <c r="B54" s="3">
        <v>45776</v>
      </c>
      <c r="C54" s="1" t="s">
        <v>4</v>
      </c>
      <c r="D54" s="2">
        <v>1155</v>
      </c>
      <c r="F54" s="6">
        <f t="shared" si="0"/>
        <v>1155</v>
      </c>
    </row>
    <row r="55" spans="1:9" x14ac:dyDescent="0.25">
      <c r="A55" t="s">
        <v>9</v>
      </c>
      <c r="B55" s="3">
        <v>45777</v>
      </c>
      <c r="C55" s="1" t="s">
        <v>4</v>
      </c>
      <c r="D55" s="2">
        <v>2073</v>
      </c>
      <c r="F55" s="6">
        <f t="shared" ref="F55:F64" si="2">D55+E55</f>
        <v>2073</v>
      </c>
    </row>
    <row r="56" spans="1:9" x14ac:dyDescent="0.25">
      <c r="B56" s="3">
        <v>45686</v>
      </c>
      <c r="C56" s="1" t="s">
        <v>15</v>
      </c>
      <c r="D56" s="2">
        <v>0</v>
      </c>
      <c r="F56" s="6">
        <f t="shared" si="2"/>
        <v>0</v>
      </c>
    </row>
    <row r="57" spans="1:9" x14ac:dyDescent="0.25">
      <c r="B57" s="3">
        <v>45686</v>
      </c>
      <c r="C57" s="1" t="s">
        <v>27</v>
      </c>
      <c r="D57" s="2">
        <v>0</v>
      </c>
      <c r="F57" s="6">
        <f t="shared" si="2"/>
        <v>0</v>
      </c>
    </row>
    <row r="58" spans="1:9" x14ac:dyDescent="0.25">
      <c r="A58" t="s">
        <v>21</v>
      </c>
      <c r="B58" s="3">
        <v>45687</v>
      </c>
      <c r="C58" s="1" t="s">
        <v>4</v>
      </c>
      <c r="D58" s="2">
        <v>0</v>
      </c>
      <c r="F58" s="6">
        <f t="shared" si="2"/>
        <v>0</v>
      </c>
    </row>
    <row r="59" spans="1:9" x14ac:dyDescent="0.25">
      <c r="B59" s="3">
        <v>45687</v>
      </c>
      <c r="C59" s="1" t="s">
        <v>15</v>
      </c>
      <c r="F59" s="6">
        <f t="shared" si="2"/>
        <v>0</v>
      </c>
    </row>
    <row r="60" spans="1:9" x14ac:dyDescent="0.25">
      <c r="B60" s="3">
        <v>45687</v>
      </c>
      <c r="C60" s="1" t="s">
        <v>27</v>
      </c>
      <c r="D60" s="2">
        <v>0</v>
      </c>
      <c r="F60" s="6">
        <f t="shared" si="2"/>
        <v>0</v>
      </c>
    </row>
    <row r="61" spans="1:9" x14ac:dyDescent="0.25">
      <c r="A61" t="s">
        <v>11</v>
      </c>
      <c r="B61" s="3">
        <v>45688</v>
      </c>
      <c r="C61" s="1" t="s">
        <v>4</v>
      </c>
      <c r="F61" s="6">
        <f t="shared" si="2"/>
        <v>0</v>
      </c>
    </row>
    <row r="62" spans="1:9" x14ac:dyDescent="0.25">
      <c r="B62" s="3">
        <v>45688</v>
      </c>
      <c r="C62" s="1" t="s">
        <v>15</v>
      </c>
      <c r="D62" s="2">
        <v>0</v>
      </c>
      <c r="F62" s="6">
        <f t="shared" si="2"/>
        <v>0</v>
      </c>
    </row>
    <row r="63" spans="1:9" x14ac:dyDescent="0.25">
      <c r="B63" s="3">
        <v>45688</v>
      </c>
      <c r="C63" s="1" t="s">
        <v>16</v>
      </c>
      <c r="D63" s="2">
        <v>0</v>
      </c>
      <c r="F63" s="6">
        <f t="shared" si="2"/>
        <v>0</v>
      </c>
    </row>
    <row r="64" spans="1:9" x14ac:dyDescent="0.25">
      <c r="B64" s="3">
        <v>45688</v>
      </c>
      <c r="C64" s="1" t="s">
        <v>27</v>
      </c>
      <c r="D64" s="2">
        <v>0</v>
      </c>
      <c r="F64" s="6">
        <f t="shared" si="2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A6AF8-ABAB-C84D-80E4-483D212ED939}">
  <sheetPr>
    <tabColor theme="5"/>
  </sheetPr>
  <dimension ref="A3:R73"/>
  <sheetViews>
    <sheetView workbookViewId="0">
      <selection activeCell="I14" sqref="I14"/>
    </sheetView>
  </sheetViews>
  <sheetFormatPr baseColWidth="10" defaultRowHeight="19" x14ac:dyDescent="0.25"/>
  <cols>
    <col min="2" max="2" width="13.6640625" style="3" customWidth="1"/>
    <col min="3" max="3" width="19.83203125" style="1" customWidth="1"/>
    <col min="4" max="4" width="10.83203125" style="2"/>
    <col min="5" max="6" width="10.83203125" style="1"/>
    <col min="10" max="10" width="13.6640625" customWidth="1"/>
  </cols>
  <sheetData>
    <row r="3" spans="1:18" x14ac:dyDescent="0.25">
      <c r="B3" s="3" t="s">
        <v>0</v>
      </c>
      <c r="C3" s="1" t="s">
        <v>1</v>
      </c>
      <c r="D3" s="2" t="s">
        <v>2</v>
      </c>
      <c r="E3" s="1" t="s">
        <v>25</v>
      </c>
      <c r="F3" s="1" t="s">
        <v>26</v>
      </c>
    </row>
    <row r="4" spans="1:18" x14ac:dyDescent="0.25">
      <c r="A4" t="s">
        <v>21</v>
      </c>
      <c r="B4" s="3">
        <v>45778</v>
      </c>
      <c r="C4" s="1" t="s">
        <v>20</v>
      </c>
      <c r="D4" s="2">
        <v>2138</v>
      </c>
      <c r="F4" s="6">
        <f t="shared" ref="F4:F73" si="0">D4+E4</f>
        <v>2138</v>
      </c>
      <c r="H4" s="7" t="s">
        <v>17</v>
      </c>
      <c r="I4" s="16" t="s">
        <v>41</v>
      </c>
      <c r="J4" s="7" t="s">
        <v>14</v>
      </c>
      <c r="O4" s="15"/>
    </row>
    <row r="5" spans="1:18" x14ac:dyDescent="0.25">
      <c r="B5" s="3">
        <v>45778</v>
      </c>
      <c r="C5" s="1" t="s">
        <v>3</v>
      </c>
      <c r="D5" s="2">
        <v>0</v>
      </c>
      <c r="F5" s="6">
        <f t="shared" si="0"/>
        <v>0</v>
      </c>
      <c r="H5" s="8">
        <f>SUM(F4:F13)</f>
        <v>15045</v>
      </c>
      <c r="J5" s="5">
        <f>SUM(F4:F73)</f>
        <v>107388</v>
      </c>
      <c r="P5" t="s">
        <v>28</v>
      </c>
      <c r="Q5" s="10" t="s">
        <v>29</v>
      </c>
      <c r="R5" s="10" t="s">
        <v>30</v>
      </c>
    </row>
    <row r="6" spans="1:18" x14ac:dyDescent="0.25">
      <c r="A6" t="s">
        <v>11</v>
      </c>
      <c r="B6" s="3">
        <v>45779</v>
      </c>
      <c r="C6" s="1" t="s">
        <v>4</v>
      </c>
      <c r="D6" s="2">
        <v>1705</v>
      </c>
      <c r="F6" s="6">
        <f t="shared" si="0"/>
        <v>1705</v>
      </c>
      <c r="O6" t="s">
        <v>3</v>
      </c>
      <c r="P6">
        <v>4</v>
      </c>
      <c r="Q6" s="10">
        <f>D4+D15+D30+D45</f>
        <v>7113</v>
      </c>
      <c r="R6" s="14">
        <f>Q6/P6</f>
        <v>1778.25</v>
      </c>
    </row>
    <row r="7" spans="1:18" x14ac:dyDescent="0.25">
      <c r="B7" s="3">
        <v>45779</v>
      </c>
      <c r="C7" s="1" t="s">
        <v>16</v>
      </c>
      <c r="D7" s="2">
        <v>0</v>
      </c>
      <c r="F7" s="6">
        <f t="shared" si="0"/>
        <v>0</v>
      </c>
      <c r="O7" t="s">
        <v>4</v>
      </c>
      <c r="P7">
        <v>31</v>
      </c>
      <c r="Q7" s="10" t="e">
        <f>D5+D7+D9+#REF!+#REF!+#REF!+D13+D16+D17+D18+D20+D21+D25+D31+D32+D33+D34+#REF!+D46+D47+D48+D49+D51+D55+D59+D62+D65+D66+D69</f>
        <v>#REF!</v>
      </c>
      <c r="R7" s="14" t="e">
        <f>Q7/P7</f>
        <v>#REF!</v>
      </c>
    </row>
    <row r="8" spans="1:18" x14ac:dyDescent="0.25">
      <c r="A8" t="s">
        <v>12</v>
      </c>
      <c r="B8" s="3">
        <v>45780</v>
      </c>
      <c r="C8" s="1" t="s">
        <v>6</v>
      </c>
      <c r="D8" s="2">
        <v>2614</v>
      </c>
      <c r="F8" s="6">
        <f t="shared" si="0"/>
        <v>2614</v>
      </c>
      <c r="O8" t="s">
        <v>16</v>
      </c>
      <c r="P8">
        <v>3</v>
      </c>
      <c r="Q8" s="10" t="e">
        <f>#REF!+#REF!+#REF!+D18+D23+#REF!+D54</f>
        <v>#REF!</v>
      </c>
      <c r="R8" s="14" t="e">
        <f t="shared" ref="R8:R9" si="1">Q8/P8</f>
        <v>#REF!</v>
      </c>
    </row>
    <row r="9" spans="1:18" x14ac:dyDescent="0.25">
      <c r="B9" s="3">
        <v>45780</v>
      </c>
      <c r="C9" s="1" t="s">
        <v>16</v>
      </c>
      <c r="D9" s="2">
        <v>1699</v>
      </c>
      <c r="F9" s="6">
        <f t="shared" si="0"/>
        <v>1699</v>
      </c>
      <c r="O9" t="s">
        <v>6</v>
      </c>
      <c r="P9">
        <v>7</v>
      </c>
      <c r="Q9" s="10">
        <f>D11+D12+D24+D38+D42+D54</f>
        <v>8991</v>
      </c>
      <c r="R9" s="14">
        <f t="shared" si="1"/>
        <v>1284.4285714285713</v>
      </c>
    </row>
    <row r="10" spans="1:18" x14ac:dyDescent="0.25">
      <c r="B10" s="3">
        <v>45780</v>
      </c>
      <c r="C10" s="1" t="s">
        <v>16</v>
      </c>
      <c r="D10" s="2">
        <v>1274</v>
      </c>
      <c r="F10" s="6">
        <f t="shared" si="0"/>
        <v>1274</v>
      </c>
      <c r="Q10" s="10"/>
      <c r="R10" s="14"/>
    </row>
    <row r="11" spans="1:18" x14ac:dyDescent="0.25">
      <c r="B11" s="3">
        <v>45780</v>
      </c>
      <c r="C11" s="1" t="s">
        <v>4</v>
      </c>
      <c r="D11" s="2">
        <v>1638</v>
      </c>
      <c r="F11" s="6">
        <f t="shared" si="0"/>
        <v>1638</v>
      </c>
    </row>
    <row r="12" spans="1:18" x14ac:dyDescent="0.25">
      <c r="A12" t="s">
        <v>13</v>
      </c>
      <c r="B12" s="3">
        <v>45781</v>
      </c>
      <c r="C12" s="1" t="s">
        <v>6</v>
      </c>
      <c r="D12" s="2">
        <v>1534</v>
      </c>
      <c r="F12" s="6">
        <f t="shared" si="0"/>
        <v>1534</v>
      </c>
    </row>
    <row r="13" spans="1:18" x14ac:dyDescent="0.25">
      <c r="B13" s="3">
        <v>45781</v>
      </c>
      <c r="C13" s="1" t="s">
        <v>4</v>
      </c>
      <c r="D13" s="2">
        <v>2443</v>
      </c>
      <c r="F13" s="6">
        <f t="shared" si="0"/>
        <v>2443</v>
      </c>
    </row>
    <row r="14" spans="1:18" x14ac:dyDescent="0.25">
      <c r="F14" s="6"/>
    </row>
    <row r="15" spans="1:18" x14ac:dyDescent="0.25">
      <c r="A15" t="s">
        <v>7</v>
      </c>
      <c r="B15" s="3">
        <v>45782</v>
      </c>
      <c r="C15" s="1" t="s">
        <v>3</v>
      </c>
      <c r="D15" s="2">
        <v>3766</v>
      </c>
      <c r="F15" s="6">
        <f t="shared" si="0"/>
        <v>3766</v>
      </c>
      <c r="H15" s="7" t="s">
        <v>18</v>
      </c>
      <c r="I15" s="16" t="s">
        <v>42</v>
      </c>
    </row>
    <row r="16" spans="1:18" x14ac:dyDescent="0.25">
      <c r="B16" s="3">
        <v>45782</v>
      </c>
      <c r="C16" s="1" t="s">
        <v>4</v>
      </c>
      <c r="D16" s="2">
        <v>2639</v>
      </c>
      <c r="F16" s="6">
        <f t="shared" si="0"/>
        <v>2639</v>
      </c>
      <c r="H16" s="8">
        <f>SUM(F15:F28)</f>
        <v>27012</v>
      </c>
    </row>
    <row r="17" spans="1:9" x14ac:dyDescent="0.25">
      <c r="A17" t="s">
        <v>8</v>
      </c>
      <c r="B17" s="3">
        <v>45783</v>
      </c>
      <c r="C17" s="1" t="s">
        <v>4</v>
      </c>
      <c r="D17" s="2">
        <v>2635</v>
      </c>
      <c r="F17" s="6">
        <f t="shared" si="0"/>
        <v>2635</v>
      </c>
    </row>
    <row r="18" spans="1:9" x14ac:dyDescent="0.25">
      <c r="A18" t="s">
        <v>9</v>
      </c>
      <c r="B18" s="3">
        <v>45784</v>
      </c>
      <c r="C18" s="1" t="s">
        <v>4</v>
      </c>
      <c r="D18" s="2">
        <v>1802</v>
      </c>
      <c r="F18" s="6">
        <f t="shared" si="0"/>
        <v>1802</v>
      </c>
    </row>
    <row r="19" spans="1:9" x14ac:dyDescent="0.25">
      <c r="A19" t="s">
        <v>21</v>
      </c>
      <c r="B19" s="3">
        <v>45785</v>
      </c>
      <c r="C19" s="1" t="s">
        <v>3</v>
      </c>
      <c r="D19" s="2">
        <v>1520</v>
      </c>
      <c r="F19" s="6">
        <f>D19+E19</f>
        <v>1520</v>
      </c>
    </row>
    <row r="20" spans="1:9" x14ac:dyDescent="0.25">
      <c r="B20" s="3">
        <v>45785</v>
      </c>
      <c r="C20" s="1" t="s">
        <v>4</v>
      </c>
      <c r="D20" s="2">
        <v>3774</v>
      </c>
      <c r="F20" s="6">
        <f t="shared" si="0"/>
        <v>3774</v>
      </c>
    </row>
    <row r="21" spans="1:9" x14ac:dyDescent="0.25">
      <c r="A21" t="s">
        <v>11</v>
      </c>
      <c r="B21" s="3">
        <v>45786</v>
      </c>
      <c r="C21" s="1" t="s">
        <v>4</v>
      </c>
      <c r="D21" s="2">
        <v>2019</v>
      </c>
      <c r="F21" s="6">
        <f t="shared" si="0"/>
        <v>2019</v>
      </c>
    </row>
    <row r="22" spans="1:9" x14ac:dyDescent="0.25">
      <c r="B22" s="3">
        <v>45786</v>
      </c>
      <c r="C22" s="1" t="s">
        <v>16</v>
      </c>
      <c r="D22" s="2">
        <v>663</v>
      </c>
      <c r="F22" s="6">
        <f t="shared" si="0"/>
        <v>663</v>
      </c>
    </row>
    <row r="23" spans="1:9" x14ac:dyDescent="0.25">
      <c r="B23" s="3">
        <v>45786</v>
      </c>
      <c r="C23" s="1" t="s">
        <v>16</v>
      </c>
      <c r="D23" s="2">
        <v>780</v>
      </c>
      <c r="F23" s="6">
        <f t="shared" si="0"/>
        <v>780</v>
      </c>
    </row>
    <row r="24" spans="1:9" x14ac:dyDescent="0.25">
      <c r="A24" t="s">
        <v>12</v>
      </c>
      <c r="B24" s="3">
        <v>45787</v>
      </c>
      <c r="C24" s="1" t="s">
        <v>4</v>
      </c>
      <c r="D24" s="2">
        <v>2708</v>
      </c>
      <c r="F24" s="6">
        <f t="shared" si="0"/>
        <v>2708</v>
      </c>
    </row>
    <row r="25" spans="1:9" x14ac:dyDescent="0.25">
      <c r="B25" s="3">
        <v>45787</v>
      </c>
      <c r="C25" s="1" t="s">
        <v>16</v>
      </c>
      <c r="D25" s="2">
        <v>1252</v>
      </c>
      <c r="F25" s="6">
        <f t="shared" si="0"/>
        <v>1252</v>
      </c>
    </row>
    <row r="26" spans="1:9" x14ac:dyDescent="0.25">
      <c r="B26" s="3">
        <v>45787</v>
      </c>
      <c r="C26" s="1" t="s">
        <v>16</v>
      </c>
      <c r="D26" s="2">
        <v>1653</v>
      </c>
      <c r="F26" s="6">
        <f t="shared" si="0"/>
        <v>1653</v>
      </c>
    </row>
    <row r="27" spans="1:9" x14ac:dyDescent="0.25">
      <c r="A27" t="s">
        <v>13</v>
      </c>
      <c r="B27" s="3">
        <v>45788</v>
      </c>
      <c r="C27" s="1" t="s">
        <v>6</v>
      </c>
      <c r="D27" s="2">
        <v>0</v>
      </c>
      <c r="F27" s="6">
        <f t="shared" si="0"/>
        <v>0</v>
      </c>
    </row>
    <row r="28" spans="1:9" x14ac:dyDescent="0.25">
      <c r="B28" s="3">
        <v>45788</v>
      </c>
      <c r="C28" s="1" t="s">
        <v>4</v>
      </c>
      <c r="D28" s="2">
        <v>1801</v>
      </c>
      <c r="F28" s="6">
        <f t="shared" si="0"/>
        <v>1801</v>
      </c>
    </row>
    <row r="29" spans="1:9" x14ac:dyDescent="0.25">
      <c r="F29" s="6"/>
    </row>
    <row r="30" spans="1:9" x14ac:dyDescent="0.25">
      <c r="A30" t="s">
        <v>7</v>
      </c>
      <c r="B30" s="3">
        <v>45789</v>
      </c>
      <c r="C30" s="1" t="s">
        <v>3</v>
      </c>
      <c r="D30" s="2">
        <v>0</v>
      </c>
      <c r="F30" s="6">
        <f t="shared" si="0"/>
        <v>0</v>
      </c>
      <c r="H30" s="7" t="s">
        <v>19</v>
      </c>
      <c r="I30" s="16" t="s">
        <v>43</v>
      </c>
    </row>
    <row r="31" spans="1:9" x14ac:dyDescent="0.25">
      <c r="B31" s="3">
        <v>45789</v>
      </c>
      <c r="C31" s="1" t="s">
        <v>4</v>
      </c>
      <c r="D31" s="2">
        <v>1972</v>
      </c>
      <c r="F31" s="6">
        <f t="shared" si="0"/>
        <v>1972</v>
      </c>
      <c r="H31" s="9">
        <f>SUM(F30:F43)</f>
        <v>23528</v>
      </c>
    </row>
    <row r="32" spans="1:9" x14ac:dyDescent="0.25">
      <c r="A32" t="s">
        <v>8</v>
      </c>
      <c r="B32" s="3">
        <v>45790</v>
      </c>
      <c r="C32" s="1" t="s">
        <v>4</v>
      </c>
      <c r="D32" s="2">
        <v>1608</v>
      </c>
      <c r="F32" s="6">
        <f t="shared" si="0"/>
        <v>1608</v>
      </c>
    </row>
    <row r="33" spans="1:9" x14ac:dyDescent="0.25">
      <c r="A33" t="s">
        <v>9</v>
      </c>
      <c r="B33" s="3">
        <v>45791</v>
      </c>
      <c r="C33" s="1" t="s">
        <v>20</v>
      </c>
      <c r="D33" s="2">
        <v>1917</v>
      </c>
      <c r="F33" s="6">
        <f t="shared" si="0"/>
        <v>1917</v>
      </c>
    </row>
    <row r="34" spans="1:9" x14ac:dyDescent="0.25">
      <c r="A34" t="s">
        <v>21</v>
      </c>
      <c r="B34" s="3">
        <v>45792</v>
      </c>
      <c r="C34" s="1" t="s">
        <v>4</v>
      </c>
      <c r="D34" s="2">
        <v>1652</v>
      </c>
      <c r="F34" s="6">
        <f t="shared" si="0"/>
        <v>1652</v>
      </c>
    </row>
    <row r="35" spans="1:9" x14ac:dyDescent="0.25">
      <c r="A35" t="s">
        <v>11</v>
      </c>
      <c r="B35" s="3">
        <v>45793</v>
      </c>
      <c r="C35" s="1" t="s">
        <v>4</v>
      </c>
      <c r="D35" s="2">
        <v>2185</v>
      </c>
      <c r="F35" s="6">
        <f t="shared" si="0"/>
        <v>2185</v>
      </c>
    </row>
    <row r="36" spans="1:9" x14ac:dyDescent="0.25">
      <c r="B36" s="3">
        <v>45793</v>
      </c>
      <c r="C36" s="1" t="s">
        <v>45</v>
      </c>
      <c r="D36" s="2">
        <v>415</v>
      </c>
      <c r="F36" s="6">
        <f t="shared" si="0"/>
        <v>415</v>
      </c>
    </row>
    <row r="37" spans="1:9" x14ac:dyDescent="0.25">
      <c r="B37" s="3">
        <v>45793</v>
      </c>
      <c r="C37" s="1" t="s">
        <v>46</v>
      </c>
      <c r="D37" s="2">
        <v>747</v>
      </c>
      <c r="F37" s="6">
        <f t="shared" si="0"/>
        <v>747</v>
      </c>
    </row>
    <row r="38" spans="1:9" x14ac:dyDescent="0.25">
      <c r="A38" t="s">
        <v>12</v>
      </c>
      <c r="B38" s="3">
        <v>45794</v>
      </c>
      <c r="C38" s="1" t="s">
        <v>6</v>
      </c>
      <c r="D38" s="2">
        <v>1195</v>
      </c>
      <c r="F38" s="6">
        <f t="shared" si="0"/>
        <v>1195</v>
      </c>
    </row>
    <row r="39" spans="1:9" x14ac:dyDescent="0.25">
      <c r="B39" s="3">
        <v>45794</v>
      </c>
      <c r="C39" s="1" t="s">
        <v>45</v>
      </c>
      <c r="D39" s="2">
        <v>437</v>
      </c>
      <c r="F39" s="6">
        <f t="shared" si="0"/>
        <v>437</v>
      </c>
    </row>
    <row r="40" spans="1:9" x14ac:dyDescent="0.25">
      <c r="B40" s="3">
        <v>45794</v>
      </c>
      <c r="C40" s="1" t="s">
        <v>46</v>
      </c>
      <c r="D40" s="2">
        <v>510</v>
      </c>
      <c r="F40" s="6">
        <f t="shared" si="0"/>
        <v>510</v>
      </c>
    </row>
    <row r="41" spans="1:9" x14ac:dyDescent="0.25">
      <c r="B41" s="3">
        <v>45794</v>
      </c>
      <c r="C41" s="1" t="s">
        <v>4</v>
      </c>
      <c r="D41" s="2">
        <v>2270</v>
      </c>
      <c r="F41" s="6">
        <f t="shared" si="0"/>
        <v>2270</v>
      </c>
    </row>
    <row r="42" spans="1:9" x14ac:dyDescent="0.25">
      <c r="A42" t="s">
        <v>13</v>
      </c>
      <c r="B42" s="3">
        <v>45795</v>
      </c>
      <c r="C42" s="1" t="s">
        <v>6</v>
      </c>
      <c r="D42" s="2">
        <v>0</v>
      </c>
      <c r="F42" s="6">
        <f t="shared" si="0"/>
        <v>0</v>
      </c>
    </row>
    <row r="43" spans="1:9" x14ac:dyDescent="0.25">
      <c r="B43" s="3">
        <v>45795</v>
      </c>
      <c r="C43" s="1" t="s">
        <v>4</v>
      </c>
      <c r="D43" s="2">
        <v>8620</v>
      </c>
      <c r="F43" s="6">
        <f t="shared" si="0"/>
        <v>8620</v>
      </c>
    </row>
    <row r="44" spans="1:9" x14ac:dyDescent="0.25">
      <c r="F44" s="6"/>
    </row>
    <row r="45" spans="1:9" x14ac:dyDescent="0.25">
      <c r="A45" t="s">
        <v>7</v>
      </c>
      <c r="B45" s="3">
        <v>45796</v>
      </c>
      <c r="C45" s="1" t="s">
        <v>3</v>
      </c>
      <c r="D45" s="2">
        <v>1209</v>
      </c>
      <c r="F45" s="6">
        <f t="shared" si="0"/>
        <v>1209</v>
      </c>
      <c r="H45" s="7" t="s">
        <v>23</v>
      </c>
      <c r="I45" s="16" t="s">
        <v>44</v>
      </c>
    </row>
    <row r="46" spans="1:9" x14ac:dyDescent="0.25">
      <c r="B46" s="3">
        <v>45796</v>
      </c>
      <c r="C46" s="1" t="s">
        <v>4</v>
      </c>
      <c r="D46" s="2">
        <v>1664</v>
      </c>
      <c r="F46" s="6">
        <f t="shared" si="0"/>
        <v>1664</v>
      </c>
      <c r="H46" s="8">
        <f>SUM(F45:F59)</f>
        <v>26587</v>
      </c>
    </row>
    <row r="47" spans="1:9" x14ac:dyDescent="0.25">
      <c r="A47" t="s">
        <v>8</v>
      </c>
      <c r="B47" s="3">
        <v>45797</v>
      </c>
      <c r="C47" s="1" t="s">
        <v>4</v>
      </c>
      <c r="D47" s="2">
        <v>2363</v>
      </c>
      <c r="F47" s="6">
        <f t="shared" si="0"/>
        <v>2363</v>
      </c>
    </row>
    <row r="48" spans="1:9" x14ac:dyDescent="0.25">
      <c r="A48" t="s">
        <v>9</v>
      </c>
      <c r="B48" s="3">
        <v>45798</v>
      </c>
      <c r="C48" s="1" t="s">
        <v>4</v>
      </c>
      <c r="D48" s="2">
        <v>1158</v>
      </c>
      <c r="F48" s="6">
        <f t="shared" si="0"/>
        <v>1158</v>
      </c>
    </row>
    <row r="49" spans="1:9" x14ac:dyDescent="0.25">
      <c r="A49" t="s">
        <v>21</v>
      </c>
      <c r="B49" s="3">
        <v>45799</v>
      </c>
      <c r="C49" s="1" t="s">
        <v>4</v>
      </c>
      <c r="D49" s="2">
        <v>1930</v>
      </c>
      <c r="F49" s="6">
        <f t="shared" si="0"/>
        <v>1930</v>
      </c>
    </row>
    <row r="50" spans="1:9" x14ac:dyDescent="0.25">
      <c r="B50" s="3">
        <v>45799</v>
      </c>
      <c r="C50" s="1" t="s">
        <v>3</v>
      </c>
      <c r="D50" s="2">
        <v>1659</v>
      </c>
      <c r="F50" s="6">
        <f t="shared" si="0"/>
        <v>1659</v>
      </c>
    </row>
    <row r="51" spans="1:9" x14ac:dyDescent="0.25">
      <c r="A51" t="s">
        <v>11</v>
      </c>
      <c r="B51" s="3">
        <v>45800</v>
      </c>
      <c r="C51" s="1" t="s">
        <v>4</v>
      </c>
      <c r="D51" s="2">
        <v>2932</v>
      </c>
      <c r="F51" s="6">
        <f t="shared" si="0"/>
        <v>2932</v>
      </c>
    </row>
    <row r="52" spans="1:9" x14ac:dyDescent="0.25">
      <c r="B52" s="3">
        <v>45800</v>
      </c>
      <c r="C52" s="1" t="s">
        <v>47</v>
      </c>
      <c r="D52" s="2">
        <v>2163</v>
      </c>
      <c r="F52" s="6">
        <f t="shared" si="0"/>
        <v>2163</v>
      </c>
    </row>
    <row r="53" spans="1:9" x14ac:dyDescent="0.25">
      <c r="B53" s="3">
        <v>45800</v>
      </c>
      <c r="C53" s="1" t="s">
        <v>16</v>
      </c>
      <c r="D53" s="2">
        <v>1966</v>
      </c>
      <c r="F53" s="6">
        <f t="shared" si="0"/>
        <v>1966</v>
      </c>
    </row>
    <row r="54" spans="1:9" x14ac:dyDescent="0.25">
      <c r="A54" t="s">
        <v>12</v>
      </c>
      <c r="B54" s="3">
        <v>45801</v>
      </c>
      <c r="C54" s="1" t="s">
        <v>6</v>
      </c>
      <c r="D54" s="2">
        <v>1916</v>
      </c>
      <c r="F54" s="6">
        <f t="shared" si="0"/>
        <v>1916</v>
      </c>
    </row>
    <row r="55" spans="1:9" x14ac:dyDescent="0.25">
      <c r="B55" s="3">
        <v>45801</v>
      </c>
      <c r="C55" s="1" t="s">
        <v>4</v>
      </c>
      <c r="D55" s="2">
        <v>1807</v>
      </c>
      <c r="F55" s="6">
        <f t="shared" si="0"/>
        <v>1807</v>
      </c>
    </row>
    <row r="56" spans="1:9" x14ac:dyDescent="0.25">
      <c r="B56" s="3">
        <v>45801</v>
      </c>
      <c r="C56" s="1" t="s">
        <v>16</v>
      </c>
      <c r="D56" s="2">
        <v>107</v>
      </c>
      <c r="F56" s="6">
        <f t="shared" si="0"/>
        <v>107</v>
      </c>
    </row>
    <row r="57" spans="1:9" x14ac:dyDescent="0.25">
      <c r="B57" s="3">
        <v>45801</v>
      </c>
      <c r="C57" s="1" t="s">
        <v>47</v>
      </c>
      <c r="D57" s="2">
        <v>2048</v>
      </c>
      <c r="F57" s="6">
        <f t="shared" si="0"/>
        <v>2048</v>
      </c>
    </row>
    <row r="58" spans="1:9" x14ac:dyDescent="0.25">
      <c r="A58" t="s">
        <v>13</v>
      </c>
      <c r="B58" s="3">
        <v>45802</v>
      </c>
      <c r="C58" s="1" t="s">
        <v>4</v>
      </c>
      <c r="D58" s="2">
        <v>2275</v>
      </c>
      <c r="F58" s="6">
        <f t="shared" si="0"/>
        <v>2275</v>
      </c>
    </row>
    <row r="59" spans="1:9" x14ac:dyDescent="0.25">
      <c r="B59" s="3">
        <v>45802</v>
      </c>
      <c r="C59" s="1" t="s">
        <v>47</v>
      </c>
      <c r="D59" s="2">
        <v>1390</v>
      </c>
      <c r="F59" s="6">
        <f t="shared" si="0"/>
        <v>1390</v>
      </c>
    </row>
    <row r="60" spans="1:9" x14ac:dyDescent="0.25">
      <c r="F60" s="6"/>
    </row>
    <row r="61" spans="1:9" x14ac:dyDescent="0.25">
      <c r="A61" t="s">
        <v>7</v>
      </c>
      <c r="B61" s="3">
        <v>45803</v>
      </c>
      <c r="C61" s="1" t="s">
        <v>3</v>
      </c>
      <c r="D61" s="2">
        <v>705</v>
      </c>
      <c r="F61" s="6">
        <f t="shared" si="0"/>
        <v>705</v>
      </c>
      <c r="H61" s="7" t="s">
        <v>24</v>
      </c>
      <c r="I61" s="16" t="s">
        <v>41</v>
      </c>
    </row>
    <row r="62" spans="1:9" x14ac:dyDescent="0.25">
      <c r="B62" s="3">
        <v>45803</v>
      </c>
      <c r="C62" s="1" t="s">
        <v>4</v>
      </c>
      <c r="D62" s="2">
        <v>4711</v>
      </c>
      <c r="F62" s="6">
        <f t="shared" si="0"/>
        <v>4711</v>
      </c>
      <c r="H62" s="8">
        <f>SUM(F61:F80)</f>
        <v>15216</v>
      </c>
    </row>
    <row r="63" spans="1:9" x14ac:dyDescent="0.25">
      <c r="B63" s="3">
        <v>45803</v>
      </c>
      <c r="C63" s="1" t="s">
        <v>35</v>
      </c>
      <c r="D63" s="2">
        <v>813</v>
      </c>
      <c r="F63" s="6">
        <f t="shared" si="0"/>
        <v>813</v>
      </c>
      <c r="H63" s="13"/>
    </row>
    <row r="64" spans="1:9" x14ac:dyDescent="0.25">
      <c r="A64" t="s">
        <v>8</v>
      </c>
      <c r="B64" s="3">
        <v>45804</v>
      </c>
      <c r="C64" s="1" t="s">
        <v>4</v>
      </c>
      <c r="D64" s="2">
        <v>1735</v>
      </c>
      <c r="F64" s="6">
        <f t="shared" si="0"/>
        <v>1735</v>
      </c>
      <c r="H64" s="13"/>
    </row>
    <row r="65" spans="1:6" x14ac:dyDescent="0.25">
      <c r="B65" s="3">
        <v>45804</v>
      </c>
      <c r="C65" s="1" t="s">
        <v>35</v>
      </c>
      <c r="D65" s="2">
        <v>397</v>
      </c>
      <c r="F65" s="6">
        <f t="shared" si="0"/>
        <v>397</v>
      </c>
    </row>
    <row r="66" spans="1:6" x14ac:dyDescent="0.25">
      <c r="A66" t="s">
        <v>9</v>
      </c>
      <c r="B66" s="3">
        <v>45805</v>
      </c>
      <c r="C66" s="1" t="s">
        <v>4</v>
      </c>
      <c r="D66" s="2">
        <v>1158</v>
      </c>
      <c r="F66" s="6">
        <f t="shared" si="0"/>
        <v>1158</v>
      </c>
    </row>
    <row r="67" spans="1:6" x14ac:dyDescent="0.25">
      <c r="B67" s="3">
        <v>45805</v>
      </c>
      <c r="C67" s="1" t="s">
        <v>35</v>
      </c>
      <c r="D67" s="2">
        <v>397</v>
      </c>
      <c r="F67" s="6">
        <f t="shared" si="0"/>
        <v>397</v>
      </c>
    </row>
    <row r="68" spans="1:6" x14ac:dyDescent="0.25">
      <c r="A68" t="s">
        <v>21</v>
      </c>
      <c r="B68" s="3">
        <v>45806</v>
      </c>
      <c r="C68" s="1" t="s">
        <v>4</v>
      </c>
      <c r="D68" s="2">
        <v>1557</v>
      </c>
      <c r="F68" s="6">
        <f t="shared" si="0"/>
        <v>1557</v>
      </c>
    </row>
    <row r="69" spans="1:6" x14ac:dyDescent="0.25">
      <c r="B69" s="3">
        <v>45806</v>
      </c>
      <c r="C69" s="1" t="s">
        <v>35</v>
      </c>
      <c r="D69" s="2">
        <v>700</v>
      </c>
      <c r="F69" s="6">
        <f t="shared" si="0"/>
        <v>700</v>
      </c>
    </row>
    <row r="70" spans="1:6" x14ac:dyDescent="0.25">
      <c r="A70" t="s">
        <v>11</v>
      </c>
      <c r="B70" s="3">
        <v>45687</v>
      </c>
      <c r="C70" s="1" t="s">
        <v>4</v>
      </c>
      <c r="D70" s="2">
        <v>1531</v>
      </c>
      <c r="F70" s="6">
        <f t="shared" si="0"/>
        <v>1531</v>
      </c>
    </row>
    <row r="71" spans="1:6" x14ac:dyDescent="0.25">
      <c r="B71" s="3">
        <v>45687</v>
      </c>
      <c r="C71" s="1" t="s">
        <v>16</v>
      </c>
      <c r="D71" s="2">
        <v>0</v>
      </c>
      <c r="F71" s="6">
        <f t="shared" si="0"/>
        <v>0</v>
      </c>
    </row>
    <row r="72" spans="1:6" x14ac:dyDescent="0.25">
      <c r="A72" t="s">
        <v>12</v>
      </c>
      <c r="B72" s="3">
        <v>45808</v>
      </c>
      <c r="C72" s="1" t="s">
        <v>4</v>
      </c>
      <c r="D72" s="2">
        <v>1512</v>
      </c>
      <c r="F72" s="6">
        <f t="shared" si="0"/>
        <v>1512</v>
      </c>
    </row>
    <row r="73" spans="1:6" x14ac:dyDescent="0.25">
      <c r="A73" t="s">
        <v>13</v>
      </c>
      <c r="B73" s="3">
        <v>45688</v>
      </c>
      <c r="C73" s="1" t="s">
        <v>4</v>
      </c>
      <c r="D73" s="2">
        <v>0</v>
      </c>
      <c r="F73" s="6">
        <f t="shared" si="0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2917E-DFA0-F445-9BAD-8E27FE51FDF6}">
  <sheetPr>
    <tabColor theme="7" tint="0.59999389629810485"/>
  </sheetPr>
  <dimension ref="A3:R65"/>
  <sheetViews>
    <sheetView workbookViewId="0">
      <selection activeCell="J29" sqref="J29"/>
    </sheetView>
  </sheetViews>
  <sheetFormatPr baseColWidth="10" defaultRowHeight="19" x14ac:dyDescent="0.25"/>
  <cols>
    <col min="2" max="2" width="13.6640625" style="3" customWidth="1"/>
    <col min="3" max="3" width="19.83203125" style="1" customWidth="1"/>
    <col min="4" max="4" width="10.83203125" style="2"/>
    <col min="5" max="6" width="10.83203125" style="1"/>
    <col min="8" max="8" width="13.33203125" customWidth="1"/>
    <col min="10" max="10" width="13.6640625" customWidth="1"/>
  </cols>
  <sheetData>
    <row r="3" spans="1:18" x14ac:dyDescent="0.25">
      <c r="B3" s="3" t="s">
        <v>48</v>
      </c>
      <c r="C3" s="1" t="s">
        <v>1</v>
      </c>
      <c r="D3" s="2" t="s">
        <v>2</v>
      </c>
      <c r="E3" s="2" t="s">
        <v>2</v>
      </c>
      <c r="F3" s="1" t="s">
        <v>26</v>
      </c>
    </row>
    <row r="4" spans="1:18" x14ac:dyDescent="0.25">
      <c r="A4" t="s">
        <v>13</v>
      </c>
      <c r="B4" s="3">
        <v>45809</v>
      </c>
      <c r="C4" s="1" t="s">
        <v>4</v>
      </c>
      <c r="D4" s="2">
        <v>1872</v>
      </c>
      <c r="F4" s="6">
        <v>1872</v>
      </c>
    </row>
    <row r="5" spans="1:18" x14ac:dyDescent="0.25">
      <c r="E5" s="2"/>
    </row>
    <row r="6" spans="1:18" x14ac:dyDescent="0.25">
      <c r="A6" t="s">
        <v>7</v>
      </c>
      <c r="B6" s="3">
        <v>45810</v>
      </c>
      <c r="C6" s="1" t="s">
        <v>4</v>
      </c>
      <c r="D6" s="2">
        <v>1971</v>
      </c>
      <c r="F6" s="6">
        <f>D6+E6</f>
        <v>1971</v>
      </c>
      <c r="H6" s="7" t="s">
        <v>17</v>
      </c>
      <c r="I6" s="16" t="s">
        <v>53</v>
      </c>
      <c r="J6" s="7" t="s">
        <v>14</v>
      </c>
      <c r="O6" s="15"/>
    </row>
    <row r="7" spans="1:18" x14ac:dyDescent="0.25">
      <c r="B7" s="3">
        <v>45810</v>
      </c>
      <c r="C7" s="1" t="s">
        <v>3</v>
      </c>
      <c r="D7" s="2">
        <v>50</v>
      </c>
      <c r="F7" s="6">
        <f t="shared" ref="F7:F54" si="0">D7+E7</f>
        <v>50</v>
      </c>
      <c r="H7" s="8">
        <f>SUM(F6:F15)</f>
        <v>15578</v>
      </c>
      <c r="J7" s="5">
        <f>SUM(F6:F54)</f>
        <v>191423</v>
      </c>
      <c r="P7" t="s">
        <v>28</v>
      </c>
      <c r="Q7" s="10" t="s">
        <v>29</v>
      </c>
      <c r="R7" s="10" t="s">
        <v>30</v>
      </c>
    </row>
    <row r="8" spans="1:18" x14ac:dyDescent="0.25">
      <c r="A8" t="s">
        <v>8</v>
      </c>
      <c r="B8" s="3">
        <v>45811</v>
      </c>
      <c r="C8" s="1" t="s">
        <v>4</v>
      </c>
      <c r="D8" s="2">
        <v>1895</v>
      </c>
      <c r="F8" s="6">
        <f t="shared" si="0"/>
        <v>1895</v>
      </c>
      <c r="O8" t="s">
        <v>3</v>
      </c>
      <c r="P8">
        <v>4</v>
      </c>
      <c r="Q8" s="10">
        <f>D6+D17+D29+D41</f>
        <v>46649</v>
      </c>
      <c r="R8" s="14">
        <f>Q8/P8</f>
        <v>11662.25</v>
      </c>
    </row>
    <row r="9" spans="1:18" x14ac:dyDescent="0.25">
      <c r="A9" t="s">
        <v>9</v>
      </c>
      <c r="B9" s="3">
        <v>45812</v>
      </c>
      <c r="C9" s="1" t="s">
        <v>16</v>
      </c>
      <c r="D9" s="2">
        <v>1851</v>
      </c>
      <c r="F9" s="6">
        <f t="shared" si="0"/>
        <v>1851</v>
      </c>
      <c r="O9" t="s">
        <v>4</v>
      </c>
      <c r="P9">
        <v>31</v>
      </c>
      <c r="Q9" s="10" t="e">
        <f>D7+D9+D11+#REF!+#REF!+#REF!+#REF!+D18+D19+D20+#REF!+D22+D25+D30+D31+D32+D33+#REF!+D42+D43+D44+D45+D48+#REF!+#REF!+D54+#REF!+#REF!+#REF!</f>
        <v>#REF!</v>
      </c>
      <c r="R9" s="14" t="e">
        <f>Q9/P9</f>
        <v>#REF!</v>
      </c>
    </row>
    <row r="10" spans="1:18" x14ac:dyDescent="0.25">
      <c r="A10" t="s">
        <v>21</v>
      </c>
      <c r="B10" s="3">
        <v>45813</v>
      </c>
      <c r="C10" s="1" t="s">
        <v>4</v>
      </c>
      <c r="D10" s="2">
        <v>1300</v>
      </c>
      <c r="F10" s="6">
        <f t="shared" si="0"/>
        <v>1300</v>
      </c>
      <c r="O10" t="s">
        <v>16</v>
      </c>
      <c r="P10">
        <v>3</v>
      </c>
      <c r="Q10" s="10" t="e">
        <f>#REF!+#REF!+#REF!+D20+#REF!+#REF!+D51</f>
        <v>#REF!</v>
      </c>
      <c r="R10" s="14" t="e">
        <f t="shared" ref="R10:R11" si="1">Q10/P10</f>
        <v>#REF!</v>
      </c>
    </row>
    <row r="11" spans="1:18" x14ac:dyDescent="0.25">
      <c r="A11" t="s">
        <v>11</v>
      </c>
      <c r="B11" s="3">
        <v>45814</v>
      </c>
      <c r="C11" s="1" t="s">
        <v>16</v>
      </c>
      <c r="F11" s="6">
        <f t="shared" si="0"/>
        <v>0</v>
      </c>
      <c r="O11" t="s">
        <v>6</v>
      </c>
      <c r="P11">
        <v>7</v>
      </c>
      <c r="Q11" s="10">
        <f>D14+D15+D24+D36+D38+D51</f>
        <v>11381</v>
      </c>
      <c r="R11" s="14">
        <f t="shared" si="1"/>
        <v>1625.8571428571429</v>
      </c>
    </row>
    <row r="12" spans="1:18" x14ac:dyDescent="0.25">
      <c r="B12" s="3">
        <v>45814</v>
      </c>
      <c r="C12" s="1" t="s">
        <v>4</v>
      </c>
      <c r="D12" s="2">
        <v>2540</v>
      </c>
      <c r="F12" s="6">
        <f t="shared" si="0"/>
        <v>2540</v>
      </c>
      <c r="Q12" s="10"/>
      <c r="R12" s="14"/>
    </row>
    <row r="13" spans="1:18" x14ac:dyDescent="0.25">
      <c r="A13" t="s">
        <v>12</v>
      </c>
      <c r="B13" s="3">
        <v>45815</v>
      </c>
      <c r="C13" s="1" t="s">
        <v>16</v>
      </c>
      <c r="D13" s="2">
        <v>1181</v>
      </c>
      <c r="F13" s="6">
        <f t="shared" si="0"/>
        <v>1181</v>
      </c>
      <c r="Q13" s="10"/>
      <c r="R13" s="14"/>
    </row>
    <row r="14" spans="1:18" x14ac:dyDescent="0.25">
      <c r="B14" s="3">
        <v>45815</v>
      </c>
      <c r="C14" s="1" t="s">
        <v>4</v>
      </c>
      <c r="D14" s="2">
        <v>2732</v>
      </c>
      <c r="F14" s="6">
        <f t="shared" si="0"/>
        <v>2732</v>
      </c>
    </row>
    <row r="15" spans="1:18" x14ac:dyDescent="0.25">
      <c r="A15" t="s">
        <v>13</v>
      </c>
      <c r="B15" s="3">
        <v>45816</v>
      </c>
      <c r="C15" s="1" t="s">
        <v>4</v>
      </c>
      <c r="D15" s="2">
        <v>2058</v>
      </c>
      <c r="F15" s="6">
        <f t="shared" si="0"/>
        <v>2058</v>
      </c>
    </row>
    <row r="16" spans="1:18" x14ac:dyDescent="0.25">
      <c r="F16" s="6"/>
    </row>
    <row r="17" spans="1:9" x14ac:dyDescent="0.25">
      <c r="A17" t="s">
        <v>7</v>
      </c>
      <c r="B17" s="3">
        <v>45817</v>
      </c>
      <c r="C17" s="1" t="s">
        <v>54</v>
      </c>
      <c r="D17" s="2">
        <v>41000</v>
      </c>
      <c r="F17" s="6">
        <f t="shared" si="0"/>
        <v>41000</v>
      </c>
      <c r="H17" s="7" t="s">
        <v>18</v>
      </c>
      <c r="I17" s="16" t="s">
        <v>52</v>
      </c>
    </row>
    <row r="18" spans="1:9" x14ac:dyDescent="0.25">
      <c r="B18" s="3">
        <v>45817</v>
      </c>
      <c r="C18" s="1" t="s">
        <v>4</v>
      </c>
      <c r="F18" s="6">
        <f t="shared" si="0"/>
        <v>0</v>
      </c>
      <c r="H18" s="8">
        <f>SUM(F17:F27)</f>
        <v>131324</v>
      </c>
    </row>
    <row r="19" spans="1:9" x14ac:dyDescent="0.25">
      <c r="A19" t="s">
        <v>8</v>
      </c>
      <c r="B19" s="3">
        <v>45818</v>
      </c>
      <c r="C19" s="1" t="s">
        <v>4</v>
      </c>
      <c r="D19" s="2">
        <v>1902</v>
      </c>
      <c r="F19" s="6">
        <f t="shared" si="0"/>
        <v>1902</v>
      </c>
    </row>
    <row r="20" spans="1:9" x14ac:dyDescent="0.25">
      <c r="A20" t="s">
        <v>9</v>
      </c>
      <c r="B20" s="3">
        <v>45819</v>
      </c>
      <c r="C20" s="1" t="s">
        <v>54</v>
      </c>
      <c r="D20" s="2">
        <v>42000</v>
      </c>
      <c r="F20" s="6">
        <f t="shared" si="0"/>
        <v>42000</v>
      </c>
    </row>
    <row r="21" spans="1:9" x14ac:dyDescent="0.25">
      <c r="A21" t="s">
        <v>21</v>
      </c>
      <c r="B21" s="3">
        <v>45820</v>
      </c>
      <c r="C21" s="1" t="s">
        <v>54</v>
      </c>
      <c r="D21" s="2">
        <v>42000</v>
      </c>
      <c r="F21" s="6">
        <f>D21+E21</f>
        <v>42000</v>
      </c>
    </row>
    <row r="22" spans="1:9" x14ac:dyDescent="0.25">
      <c r="A22" t="s">
        <v>11</v>
      </c>
      <c r="B22" s="3">
        <v>45821</v>
      </c>
      <c r="C22" s="1" t="s">
        <v>4</v>
      </c>
      <c r="D22" s="2">
        <v>2210</v>
      </c>
      <c r="F22" s="6">
        <f t="shared" si="0"/>
        <v>2210</v>
      </c>
    </row>
    <row r="23" spans="1:9" x14ac:dyDescent="0.25">
      <c r="B23" s="3">
        <v>45821</v>
      </c>
      <c r="C23" s="1" t="s">
        <v>16</v>
      </c>
      <c r="F23" s="6">
        <f t="shared" si="0"/>
        <v>0</v>
      </c>
    </row>
    <row r="24" spans="1:9" x14ac:dyDescent="0.25">
      <c r="A24" t="s">
        <v>12</v>
      </c>
      <c r="B24" s="3">
        <v>45822</v>
      </c>
      <c r="C24" s="1" t="s">
        <v>4</v>
      </c>
      <c r="D24" s="2">
        <v>2212</v>
      </c>
      <c r="F24" s="6">
        <f t="shared" si="0"/>
        <v>2212</v>
      </c>
    </row>
    <row r="25" spans="1:9" x14ac:dyDescent="0.25">
      <c r="B25" s="3">
        <v>45822</v>
      </c>
      <c r="C25" s="1" t="s">
        <v>16</v>
      </c>
      <c r="F25" s="6">
        <f t="shared" si="0"/>
        <v>0</v>
      </c>
    </row>
    <row r="26" spans="1:9" x14ac:dyDescent="0.25">
      <c r="A26" t="s">
        <v>13</v>
      </c>
      <c r="B26" s="3">
        <v>45823</v>
      </c>
      <c r="C26" s="1" t="s">
        <v>6</v>
      </c>
      <c r="D26" s="2">
        <v>0</v>
      </c>
      <c r="F26" s="6">
        <f t="shared" si="0"/>
        <v>0</v>
      </c>
    </row>
    <row r="27" spans="1:9" x14ac:dyDescent="0.25">
      <c r="B27" s="3">
        <v>45823</v>
      </c>
      <c r="C27" s="1" t="s">
        <v>4</v>
      </c>
      <c r="F27" s="6">
        <f t="shared" si="0"/>
        <v>0</v>
      </c>
    </row>
    <row r="28" spans="1:9" x14ac:dyDescent="0.25">
      <c r="F28" s="6"/>
    </row>
    <row r="29" spans="1:9" x14ac:dyDescent="0.25">
      <c r="A29" t="s">
        <v>7</v>
      </c>
      <c r="B29" s="3">
        <v>45824</v>
      </c>
      <c r="C29" s="1" t="s">
        <v>3</v>
      </c>
      <c r="D29" s="2">
        <v>1196</v>
      </c>
      <c r="F29" s="6">
        <f t="shared" si="0"/>
        <v>1196</v>
      </c>
      <c r="H29" s="7" t="s">
        <v>19</v>
      </c>
      <c r="I29" s="16" t="s">
        <v>51</v>
      </c>
    </row>
    <row r="30" spans="1:9" x14ac:dyDescent="0.25">
      <c r="B30" s="3">
        <v>45824</v>
      </c>
      <c r="C30" s="1" t="s">
        <v>4</v>
      </c>
      <c r="D30" s="2">
        <v>2294</v>
      </c>
      <c r="F30" s="6">
        <f t="shared" si="0"/>
        <v>2294</v>
      </c>
      <c r="H30" s="9">
        <f>SUM(F29:F39)</f>
        <v>19007</v>
      </c>
    </row>
    <row r="31" spans="1:9" x14ac:dyDescent="0.25">
      <c r="A31" t="s">
        <v>8</v>
      </c>
      <c r="B31" s="3">
        <v>45825</v>
      </c>
      <c r="C31" s="1" t="s">
        <v>4</v>
      </c>
      <c r="D31" s="2">
        <v>1553</v>
      </c>
      <c r="F31" s="6">
        <f t="shared" si="0"/>
        <v>1553</v>
      </c>
    </row>
    <row r="32" spans="1:9" x14ac:dyDescent="0.25">
      <c r="A32" t="s">
        <v>9</v>
      </c>
      <c r="B32" s="3">
        <v>45826</v>
      </c>
      <c r="C32" s="1" t="s">
        <v>4</v>
      </c>
      <c r="D32" s="2">
        <v>2514</v>
      </c>
      <c r="F32" s="6">
        <f t="shared" si="0"/>
        <v>2514</v>
      </c>
    </row>
    <row r="33" spans="1:9" x14ac:dyDescent="0.25">
      <c r="A33" t="s">
        <v>21</v>
      </c>
      <c r="B33" s="3">
        <v>45827</v>
      </c>
      <c r="C33" s="1" t="s">
        <v>4</v>
      </c>
      <c r="D33" s="2">
        <v>1468</v>
      </c>
      <c r="F33" s="6">
        <f t="shared" si="0"/>
        <v>1468</v>
      </c>
    </row>
    <row r="34" spans="1:9" x14ac:dyDescent="0.25">
      <c r="A34" t="s">
        <v>11</v>
      </c>
      <c r="B34" s="3">
        <v>45828</v>
      </c>
      <c r="C34" s="1" t="s">
        <v>4</v>
      </c>
      <c r="D34" s="2">
        <v>3145</v>
      </c>
      <c r="F34" s="6">
        <f t="shared" si="0"/>
        <v>3145</v>
      </c>
    </row>
    <row r="35" spans="1:9" x14ac:dyDescent="0.25">
      <c r="B35" s="3">
        <v>45828</v>
      </c>
      <c r="C35" s="1" t="s">
        <v>16</v>
      </c>
      <c r="D35" s="2">
        <v>2177</v>
      </c>
      <c r="F35" s="6">
        <f t="shared" si="0"/>
        <v>2177</v>
      </c>
    </row>
    <row r="36" spans="1:9" x14ac:dyDescent="0.25">
      <c r="A36" t="s">
        <v>12</v>
      </c>
      <c r="B36" s="3">
        <v>45829</v>
      </c>
      <c r="C36" s="1" t="s">
        <v>16</v>
      </c>
      <c r="F36" s="6">
        <f t="shared" si="0"/>
        <v>0</v>
      </c>
    </row>
    <row r="37" spans="1:9" x14ac:dyDescent="0.25">
      <c r="B37" s="3">
        <v>45829</v>
      </c>
      <c r="C37" s="1" t="s">
        <v>4</v>
      </c>
      <c r="D37" s="2">
        <v>1834</v>
      </c>
      <c r="F37" s="6">
        <f t="shared" si="0"/>
        <v>1834</v>
      </c>
    </row>
    <row r="38" spans="1:9" x14ac:dyDescent="0.25">
      <c r="A38" t="s">
        <v>13</v>
      </c>
      <c r="B38" s="3">
        <v>45830</v>
      </c>
      <c r="C38" s="1" t="s">
        <v>6</v>
      </c>
      <c r="D38" s="2">
        <v>0</v>
      </c>
      <c r="F38" s="6">
        <f t="shared" si="0"/>
        <v>0</v>
      </c>
    </row>
    <row r="39" spans="1:9" x14ac:dyDescent="0.25">
      <c r="B39" s="3">
        <v>45830</v>
      </c>
      <c r="C39" s="1" t="s">
        <v>4</v>
      </c>
      <c r="D39" s="2">
        <v>2826</v>
      </c>
      <c r="F39" s="6">
        <f t="shared" si="0"/>
        <v>2826</v>
      </c>
    </row>
    <row r="40" spans="1:9" x14ac:dyDescent="0.25">
      <c r="F40" s="6"/>
    </row>
    <row r="41" spans="1:9" x14ac:dyDescent="0.25">
      <c r="A41" t="s">
        <v>7</v>
      </c>
      <c r="B41" s="3">
        <v>45831</v>
      </c>
      <c r="C41" s="1" t="s">
        <v>3</v>
      </c>
      <c r="D41" s="2">
        <v>2482</v>
      </c>
      <c r="F41" s="6">
        <f t="shared" si="0"/>
        <v>2482</v>
      </c>
      <c r="H41" s="7" t="s">
        <v>23</v>
      </c>
      <c r="I41" s="16" t="s">
        <v>50</v>
      </c>
    </row>
    <row r="42" spans="1:9" x14ac:dyDescent="0.25">
      <c r="B42" s="3">
        <v>45831</v>
      </c>
      <c r="C42" s="1" t="s">
        <v>4</v>
      </c>
      <c r="D42" s="2">
        <v>1479</v>
      </c>
      <c r="F42" s="6">
        <f t="shared" si="0"/>
        <v>1479</v>
      </c>
      <c r="H42" s="8">
        <f>SUM(F41:F51)</f>
        <v>25514</v>
      </c>
    </row>
    <row r="43" spans="1:9" x14ac:dyDescent="0.25">
      <c r="A43" t="s">
        <v>8</v>
      </c>
      <c r="B43" s="3">
        <v>45832</v>
      </c>
      <c r="C43" s="1" t="s">
        <v>4</v>
      </c>
      <c r="D43" s="2">
        <v>1593</v>
      </c>
      <c r="F43" s="6">
        <f t="shared" si="0"/>
        <v>1593</v>
      </c>
    </row>
    <row r="44" spans="1:9" x14ac:dyDescent="0.25">
      <c r="A44" t="s">
        <v>9</v>
      </c>
      <c r="B44" s="3">
        <v>45833</v>
      </c>
      <c r="C44" s="1" t="s">
        <v>4</v>
      </c>
      <c r="D44" s="2">
        <v>1192</v>
      </c>
      <c r="F44" s="6">
        <f t="shared" si="0"/>
        <v>1192</v>
      </c>
    </row>
    <row r="45" spans="1:9" x14ac:dyDescent="0.25">
      <c r="A45" t="s">
        <v>21</v>
      </c>
      <c r="B45" s="3">
        <v>45834</v>
      </c>
      <c r="C45" s="1" t="s">
        <v>4</v>
      </c>
      <c r="D45" s="2">
        <v>1992</v>
      </c>
      <c r="F45" s="6">
        <f t="shared" si="0"/>
        <v>1992</v>
      </c>
    </row>
    <row r="46" spans="1:9" x14ac:dyDescent="0.25">
      <c r="B46" s="3">
        <v>45834</v>
      </c>
      <c r="C46" s="1" t="s">
        <v>55</v>
      </c>
      <c r="D46" s="2">
        <v>3113</v>
      </c>
      <c r="F46" s="6">
        <f>D46+E46</f>
        <v>3113</v>
      </c>
    </row>
    <row r="47" spans="1:9" x14ac:dyDescent="0.25">
      <c r="A47" t="s">
        <v>11</v>
      </c>
      <c r="B47" s="3">
        <v>45835</v>
      </c>
      <c r="C47" s="1" t="s">
        <v>4</v>
      </c>
      <c r="D47" s="2">
        <v>1573</v>
      </c>
      <c r="F47" s="6">
        <f t="shared" si="0"/>
        <v>1573</v>
      </c>
    </row>
    <row r="48" spans="1:9" x14ac:dyDescent="0.25">
      <c r="B48" s="3">
        <v>45835</v>
      </c>
      <c r="C48" s="1" t="s">
        <v>55</v>
      </c>
      <c r="D48" s="2">
        <v>2700</v>
      </c>
      <c r="F48" s="6">
        <f t="shared" si="0"/>
        <v>2700</v>
      </c>
    </row>
    <row r="49" spans="1:9" x14ac:dyDescent="0.25">
      <c r="A49" t="s">
        <v>12</v>
      </c>
      <c r="B49" s="3">
        <v>45836</v>
      </c>
      <c r="C49" s="1" t="s">
        <v>4</v>
      </c>
      <c r="D49" s="2">
        <v>2606</v>
      </c>
      <c r="F49" s="6">
        <f t="shared" si="0"/>
        <v>2606</v>
      </c>
    </row>
    <row r="50" spans="1:9" x14ac:dyDescent="0.25">
      <c r="B50" s="3">
        <v>45836</v>
      </c>
      <c r="C50" s="1" t="s">
        <v>16</v>
      </c>
      <c r="D50" s="2">
        <v>2405</v>
      </c>
      <c r="F50" s="6">
        <f t="shared" si="0"/>
        <v>2405</v>
      </c>
    </row>
    <row r="51" spans="1:9" x14ac:dyDescent="0.25">
      <c r="A51" t="s">
        <v>13</v>
      </c>
      <c r="B51" s="3">
        <v>45837</v>
      </c>
      <c r="C51" s="1" t="s">
        <v>4</v>
      </c>
      <c r="D51" s="2">
        <v>4379</v>
      </c>
      <c r="F51" s="6">
        <f t="shared" si="0"/>
        <v>4379</v>
      </c>
    </row>
    <row r="52" spans="1:9" x14ac:dyDescent="0.25">
      <c r="F52" s="6"/>
    </row>
    <row r="53" spans="1:9" x14ac:dyDescent="0.25">
      <c r="A53" t="s">
        <v>7</v>
      </c>
      <c r="B53" s="3">
        <v>45838</v>
      </c>
      <c r="C53" s="1" t="s">
        <v>3</v>
      </c>
      <c r="F53" s="6">
        <f t="shared" si="0"/>
        <v>0</v>
      </c>
      <c r="H53" s="7" t="s">
        <v>24</v>
      </c>
      <c r="I53" s="16" t="s">
        <v>49</v>
      </c>
    </row>
    <row r="54" spans="1:9" x14ac:dyDescent="0.25">
      <c r="B54" s="3">
        <v>45838</v>
      </c>
      <c r="C54" s="1" t="s">
        <v>4</v>
      </c>
      <c r="F54" s="6">
        <f t="shared" si="0"/>
        <v>0</v>
      </c>
      <c r="H54" s="8">
        <f>SUM(F53:F72)</f>
        <v>0</v>
      </c>
    </row>
    <row r="55" spans="1:9" x14ac:dyDescent="0.25">
      <c r="B55" s="13"/>
      <c r="C55"/>
      <c r="D55"/>
      <c r="E55"/>
      <c r="F55"/>
    </row>
    <row r="56" spans="1:9" x14ac:dyDescent="0.25">
      <c r="B56" s="13"/>
      <c r="C56"/>
      <c r="D56"/>
      <c r="E56"/>
      <c r="F56"/>
    </row>
    <row r="57" spans="1:9" ht="16" x14ac:dyDescent="0.2">
      <c r="B57"/>
      <c r="C57"/>
      <c r="D57"/>
      <c r="E57"/>
      <c r="F57"/>
    </row>
    <row r="58" spans="1:9" ht="16" x14ac:dyDescent="0.2">
      <c r="B58"/>
      <c r="C58"/>
      <c r="D58"/>
      <c r="E58"/>
      <c r="F58"/>
    </row>
    <row r="59" spans="1:9" ht="16" x14ac:dyDescent="0.2">
      <c r="B59"/>
      <c r="C59"/>
      <c r="D59"/>
      <c r="E59"/>
      <c r="F59"/>
    </row>
    <row r="60" spans="1:9" ht="16" x14ac:dyDescent="0.2">
      <c r="B60"/>
      <c r="C60"/>
      <c r="D60"/>
      <c r="E60"/>
      <c r="F60"/>
    </row>
    <row r="61" spans="1:9" ht="16" x14ac:dyDescent="0.2">
      <c r="B61"/>
      <c r="C61"/>
      <c r="D61"/>
      <c r="E61"/>
      <c r="F61"/>
    </row>
    <row r="62" spans="1:9" ht="16" x14ac:dyDescent="0.2">
      <c r="B62"/>
      <c r="C62"/>
      <c r="D62"/>
      <c r="E62"/>
      <c r="F62"/>
    </row>
    <row r="63" spans="1:9" ht="16" x14ac:dyDescent="0.2">
      <c r="B63"/>
      <c r="C63"/>
      <c r="D63"/>
      <c r="E63"/>
      <c r="F63"/>
    </row>
    <row r="64" spans="1:9" ht="16" x14ac:dyDescent="0.2">
      <c r="B64"/>
      <c r="C64"/>
      <c r="D64"/>
      <c r="E64"/>
      <c r="F64"/>
    </row>
    <row r="65" customFormat="1" ht="16" x14ac:dyDescent="0.2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AD635-866F-CA45-A3B1-F954CFC4A8BD}">
  <sheetPr>
    <tabColor rgb="FF00B050"/>
  </sheetPr>
  <dimension ref="A3:R64"/>
  <sheetViews>
    <sheetView workbookViewId="0">
      <selection activeCell="D64" sqref="D64"/>
    </sheetView>
  </sheetViews>
  <sheetFormatPr baseColWidth="10" defaultRowHeight="19" x14ac:dyDescent="0.25"/>
  <cols>
    <col min="2" max="2" width="13.6640625" style="3" customWidth="1"/>
    <col min="3" max="3" width="19.83203125" style="1" customWidth="1"/>
    <col min="4" max="4" width="10.83203125" style="2"/>
    <col min="5" max="6" width="10.83203125" style="1"/>
    <col min="8" max="8" width="13.33203125" customWidth="1"/>
    <col min="10" max="10" width="13.6640625" customWidth="1"/>
  </cols>
  <sheetData>
    <row r="3" spans="1:18" x14ac:dyDescent="0.25">
      <c r="B3" s="3" t="s">
        <v>48</v>
      </c>
      <c r="C3" s="1" t="s">
        <v>1</v>
      </c>
      <c r="D3" s="2" t="s">
        <v>2</v>
      </c>
      <c r="E3" s="2" t="s">
        <v>2</v>
      </c>
      <c r="F3" s="1" t="s">
        <v>26</v>
      </c>
    </row>
    <row r="4" spans="1:18" x14ac:dyDescent="0.25">
      <c r="E4" s="2"/>
    </row>
    <row r="5" spans="1:18" x14ac:dyDescent="0.25">
      <c r="A5" t="s">
        <v>7</v>
      </c>
      <c r="F5" s="6">
        <f>D5+E5</f>
        <v>0</v>
      </c>
      <c r="H5" s="7" t="s">
        <v>17</v>
      </c>
      <c r="I5" s="16" t="s">
        <v>53</v>
      </c>
      <c r="J5" s="7" t="s">
        <v>14</v>
      </c>
      <c r="O5" s="15"/>
    </row>
    <row r="6" spans="1:18" x14ac:dyDescent="0.25">
      <c r="F6" s="6">
        <f t="shared" ref="F6:F62" si="0">D6+E6</f>
        <v>0</v>
      </c>
      <c r="H6" s="8">
        <f>SUM(F5:F15)</f>
        <v>12133</v>
      </c>
      <c r="J6" s="5">
        <f>SUM(F5:F62)</f>
        <v>74127</v>
      </c>
      <c r="P6" t="s">
        <v>28</v>
      </c>
      <c r="Q6" s="10" t="s">
        <v>29</v>
      </c>
      <c r="R6" s="10" t="s">
        <v>30</v>
      </c>
    </row>
    <row r="7" spans="1:18" x14ac:dyDescent="0.25">
      <c r="A7" t="s">
        <v>8</v>
      </c>
      <c r="B7" s="3">
        <v>45839</v>
      </c>
      <c r="C7" s="1" t="s">
        <v>4</v>
      </c>
      <c r="D7" s="2">
        <v>1743</v>
      </c>
      <c r="F7" s="6">
        <f t="shared" si="0"/>
        <v>1743</v>
      </c>
      <c r="O7" t="s">
        <v>3</v>
      </c>
      <c r="P7">
        <v>4</v>
      </c>
      <c r="Q7" s="10">
        <f>D5+D17+D28+D40</f>
        <v>6567</v>
      </c>
      <c r="R7" s="14">
        <f>Q7/P7</f>
        <v>1641.75</v>
      </c>
    </row>
    <row r="8" spans="1:18" x14ac:dyDescent="0.25">
      <c r="A8" t="s">
        <v>9</v>
      </c>
      <c r="B8" s="3">
        <v>45840</v>
      </c>
      <c r="C8" s="1" t="s">
        <v>16</v>
      </c>
      <c r="D8" s="2">
        <v>644</v>
      </c>
      <c r="F8" s="6">
        <f t="shared" si="0"/>
        <v>644</v>
      </c>
      <c r="O8" t="s">
        <v>4</v>
      </c>
      <c r="P8">
        <v>31</v>
      </c>
      <c r="Q8" s="10" t="e">
        <f>D6+D8+D11+#REF!+#REF!+#REF!+#REF!+D18+D19+D20+#REF!+D22+D25+D29+D30+D31+D32+#REF!+D41+D42+D43+D44+D47+#REF!+#REF!+D53+#REF!+#REF!+#REF!</f>
        <v>#REF!</v>
      </c>
      <c r="R8" s="14" t="e">
        <f>Q8/P8</f>
        <v>#REF!</v>
      </c>
    </row>
    <row r="9" spans="1:18" x14ac:dyDescent="0.25">
      <c r="A9" t="s">
        <v>21</v>
      </c>
      <c r="B9" s="3">
        <v>45841</v>
      </c>
      <c r="C9" s="1" t="s">
        <v>4</v>
      </c>
      <c r="D9" s="2">
        <v>1919</v>
      </c>
      <c r="F9" s="6">
        <f t="shared" si="0"/>
        <v>1919</v>
      </c>
      <c r="O9" t="s">
        <v>16</v>
      </c>
      <c r="P9">
        <v>3</v>
      </c>
      <c r="Q9" s="10" t="e">
        <f>#REF!+#REF!+#REF!+D20+#REF!+#REF!+D50</f>
        <v>#REF!</v>
      </c>
      <c r="R9" s="14" t="e">
        <f t="shared" ref="R9:R11" si="1">Q9/P9</f>
        <v>#REF!</v>
      </c>
    </row>
    <row r="10" spans="1:18" x14ac:dyDescent="0.25">
      <c r="B10" s="3">
        <v>45841</v>
      </c>
      <c r="C10" s="1" t="s">
        <v>3</v>
      </c>
      <c r="D10" s="2">
        <v>1502</v>
      </c>
      <c r="F10" s="6">
        <f t="shared" si="0"/>
        <v>1502</v>
      </c>
      <c r="Q10" s="10"/>
      <c r="R10" s="14"/>
    </row>
    <row r="11" spans="1:18" x14ac:dyDescent="0.25">
      <c r="A11" t="s">
        <v>11</v>
      </c>
      <c r="B11" s="3">
        <v>45842</v>
      </c>
      <c r="C11" s="1" t="s">
        <v>16</v>
      </c>
      <c r="D11" s="2">
        <v>775</v>
      </c>
      <c r="F11" s="6">
        <f t="shared" si="0"/>
        <v>775</v>
      </c>
      <c r="O11" t="s">
        <v>6</v>
      </c>
      <c r="P11">
        <v>7</v>
      </c>
      <c r="Q11" s="10">
        <f>D14+D15+D24+D35+D37+D50</f>
        <v>8293</v>
      </c>
      <c r="R11" s="14">
        <f t="shared" si="1"/>
        <v>1184.7142857142858</v>
      </c>
    </row>
    <row r="12" spans="1:18" x14ac:dyDescent="0.25">
      <c r="B12" s="3">
        <v>45842</v>
      </c>
      <c r="C12" s="1" t="s">
        <v>4</v>
      </c>
      <c r="D12" s="2">
        <v>2545</v>
      </c>
      <c r="F12" s="6">
        <f t="shared" si="0"/>
        <v>2545</v>
      </c>
      <c r="Q12" s="10"/>
      <c r="R12" s="14"/>
    </row>
    <row r="13" spans="1:18" x14ac:dyDescent="0.25">
      <c r="A13" t="s">
        <v>12</v>
      </c>
      <c r="B13" s="3">
        <v>45843</v>
      </c>
      <c r="C13" s="1" t="s">
        <v>16</v>
      </c>
      <c r="F13" s="6">
        <f t="shared" si="0"/>
        <v>0</v>
      </c>
      <c r="Q13" s="10"/>
      <c r="R13" s="14"/>
    </row>
    <row r="14" spans="1:18" x14ac:dyDescent="0.25">
      <c r="B14" s="3">
        <v>45843</v>
      </c>
      <c r="C14" s="1" t="s">
        <v>4</v>
      </c>
      <c r="D14" s="2">
        <v>1144</v>
      </c>
      <c r="F14" s="6">
        <f t="shared" si="0"/>
        <v>1144</v>
      </c>
    </row>
    <row r="15" spans="1:18" x14ac:dyDescent="0.25">
      <c r="A15" t="s">
        <v>13</v>
      </c>
      <c r="B15" s="3">
        <v>45844</v>
      </c>
      <c r="C15" s="1" t="s">
        <v>4</v>
      </c>
      <c r="D15" s="2">
        <v>1861</v>
      </c>
      <c r="F15" s="6">
        <f t="shared" si="0"/>
        <v>1861</v>
      </c>
    </row>
    <row r="16" spans="1:18" x14ac:dyDescent="0.25">
      <c r="F16" s="6"/>
    </row>
    <row r="17" spans="1:9" x14ac:dyDescent="0.25">
      <c r="A17" t="s">
        <v>7</v>
      </c>
      <c r="B17" s="3">
        <v>45845</v>
      </c>
      <c r="C17" s="1" t="s">
        <v>4</v>
      </c>
      <c r="D17" s="2">
        <v>6567</v>
      </c>
      <c r="F17" s="6">
        <f t="shared" si="0"/>
        <v>6567</v>
      </c>
      <c r="H17" s="7" t="s">
        <v>18</v>
      </c>
      <c r="I17" s="16" t="s">
        <v>52</v>
      </c>
    </row>
    <row r="18" spans="1:9" x14ac:dyDescent="0.25">
      <c r="B18" s="3">
        <v>45845</v>
      </c>
      <c r="C18" s="1" t="s">
        <v>3</v>
      </c>
      <c r="D18" s="2">
        <v>0</v>
      </c>
      <c r="F18" s="6">
        <f t="shared" si="0"/>
        <v>0</v>
      </c>
      <c r="H18" s="8">
        <f>SUM(F17:F26)</f>
        <v>24150</v>
      </c>
    </row>
    <row r="19" spans="1:9" x14ac:dyDescent="0.25">
      <c r="A19" t="s">
        <v>8</v>
      </c>
      <c r="B19" s="3">
        <v>45846</v>
      </c>
      <c r="C19" s="1" t="s">
        <v>4</v>
      </c>
      <c r="D19" s="2">
        <v>1798</v>
      </c>
      <c r="F19" s="6">
        <f t="shared" si="0"/>
        <v>1798</v>
      </c>
    </row>
    <row r="20" spans="1:9" x14ac:dyDescent="0.25">
      <c r="A20" t="s">
        <v>9</v>
      </c>
      <c r="B20" s="3">
        <v>45847</v>
      </c>
      <c r="C20" s="1" t="s">
        <v>4</v>
      </c>
      <c r="D20" s="2">
        <v>1738</v>
      </c>
      <c r="F20" s="6">
        <f t="shared" si="0"/>
        <v>1738</v>
      </c>
    </row>
    <row r="21" spans="1:9" x14ac:dyDescent="0.25">
      <c r="A21" t="s">
        <v>21</v>
      </c>
      <c r="B21" s="3">
        <v>45848</v>
      </c>
      <c r="C21" s="1" t="s">
        <v>4</v>
      </c>
      <c r="D21" s="2">
        <v>1630</v>
      </c>
      <c r="F21" s="6">
        <f>D21+E21</f>
        <v>1630</v>
      </c>
    </row>
    <row r="22" spans="1:9" x14ac:dyDescent="0.25">
      <c r="A22" t="s">
        <v>11</v>
      </c>
      <c r="B22" s="3">
        <v>45849</v>
      </c>
      <c r="C22" s="1" t="s">
        <v>4</v>
      </c>
      <c r="D22" s="2">
        <v>2835</v>
      </c>
      <c r="F22" s="6">
        <f t="shared" si="0"/>
        <v>2835</v>
      </c>
    </row>
    <row r="23" spans="1:9" x14ac:dyDescent="0.25">
      <c r="B23" s="3">
        <v>45849</v>
      </c>
      <c r="C23" s="1" t="s">
        <v>16</v>
      </c>
      <c r="D23" s="2">
        <v>2535</v>
      </c>
      <c r="F23" s="6">
        <f t="shared" si="0"/>
        <v>2535</v>
      </c>
    </row>
    <row r="24" spans="1:9" x14ac:dyDescent="0.25">
      <c r="A24" t="s">
        <v>12</v>
      </c>
      <c r="B24" s="3">
        <v>45850</v>
      </c>
      <c r="C24" s="1" t="s">
        <v>4</v>
      </c>
      <c r="D24" s="2">
        <v>2070</v>
      </c>
      <c r="F24" s="6">
        <f t="shared" si="0"/>
        <v>2070</v>
      </c>
    </row>
    <row r="25" spans="1:9" x14ac:dyDescent="0.25">
      <c r="B25" s="3">
        <v>45850</v>
      </c>
      <c r="C25" s="1" t="s">
        <v>16</v>
      </c>
      <c r="D25" s="2">
        <v>2776</v>
      </c>
      <c r="F25" s="6">
        <f t="shared" si="0"/>
        <v>2776</v>
      </c>
    </row>
    <row r="26" spans="1:9" x14ac:dyDescent="0.25">
      <c r="A26" t="s">
        <v>13</v>
      </c>
      <c r="B26" s="3">
        <v>45851</v>
      </c>
      <c r="C26" s="1" t="s">
        <v>4</v>
      </c>
      <c r="D26" s="2">
        <v>2201</v>
      </c>
      <c r="F26" s="6">
        <f t="shared" si="0"/>
        <v>2201</v>
      </c>
    </row>
    <row r="27" spans="1:9" x14ac:dyDescent="0.25">
      <c r="F27" s="6"/>
    </row>
    <row r="28" spans="1:9" x14ac:dyDescent="0.25">
      <c r="A28" t="s">
        <v>7</v>
      </c>
      <c r="B28" s="3">
        <v>45852</v>
      </c>
      <c r="C28" s="1" t="s">
        <v>3</v>
      </c>
      <c r="F28" s="6">
        <f t="shared" si="0"/>
        <v>0</v>
      </c>
      <c r="H28" s="7" t="s">
        <v>19</v>
      </c>
      <c r="I28" s="16" t="s">
        <v>51</v>
      </c>
    </row>
    <row r="29" spans="1:9" x14ac:dyDescent="0.25">
      <c r="B29" s="3">
        <v>45852</v>
      </c>
      <c r="C29" s="1" t="s">
        <v>4</v>
      </c>
      <c r="D29" s="2">
        <v>2221</v>
      </c>
      <c r="F29" s="6">
        <f t="shared" si="0"/>
        <v>2221</v>
      </c>
      <c r="H29" s="9">
        <f>SUM(F28:F38)</f>
        <v>12157</v>
      </c>
    </row>
    <row r="30" spans="1:9" x14ac:dyDescent="0.25">
      <c r="A30" t="s">
        <v>8</v>
      </c>
      <c r="B30" s="3">
        <v>45853</v>
      </c>
      <c r="C30" s="1" t="s">
        <v>4</v>
      </c>
      <c r="D30" s="2">
        <v>1511</v>
      </c>
      <c r="F30" s="6">
        <f t="shared" si="0"/>
        <v>1511</v>
      </c>
    </row>
    <row r="31" spans="1:9" x14ac:dyDescent="0.25">
      <c r="A31" t="s">
        <v>9</v>
      </c>
      <c r="B31" s="3">
        <v>45854</v>
      </c>
      <c r="C31" s="1" t="s">
        <v>4</v>
      </c>
      <c r="D31" s="2">
        <v>1288</v>
      </c>
      <c r="F31" s="6">
        <f t="shared" si="0"/>
        <v>1288</v>
      </c>
    </row>
    <row r="32" spans="1:9" x14ac:dyDescent="0.25">
      <c r="A32" t="s">
        <v>21</v>
      </c>
      <c r="B32" s="3">
        <v>45855</v>
      </c>
      <c r="C32" s="1" t="s">
        <v>4</v>
      </c>
      <c r="D32" s="2">
        <v>973</v>
      </c>
      <c r="F32" s="6">
        <f t="shared" si="0"/>
        <v>973</v>
      </c>
    </row>
    <row r="33" spans="1:9" x14ac:dyDescent="0.25">
      <c r="A33" t="s">
        <v>11</v>
      </c>
      <c r="B33" s="3">
        <v>45856</v>
      </c>
      <c r="C33" s="1" t="s">
        <v>4</v>
      </c>
      <c r="D33" s="2">
        <v>2294</v>
      </c>
      <c r="F33" s="6">
        <f t="shared" si="0"/>
        <v>2294</v>
      </c>
    </row>
    <row r="34" spans="1:9" x14ac:dyDescent="0.25">
      <c r="B34" s="3">
        <v>45856</v>
      </c>
      <c r="C34" s="1" t="s">
        <v>16</v>
      </c>
      <c r="F34" s="6">
        <f t="shared" si="0"/>
        <v>0</v>
      </c>
    </row>
    <row r="35" spans="1:9" x14ac:dyDescent="0.25">
      <c r="A35" t="s">
        <v>12</v>
      </c>
      <c r="B35" s="3">
        <v>45857</v>
      </c>
      <c r="C35" s="1" t="s">
        <v>16</v>
      </c>
      <c r="D35" s="2">
        <v>2193</v>
      </c>
      <c r="F35" s="6">
        <f t="shared" si="0"/>
        <v>2193</v>
      </c>
    </row>
    <row r="36" spans="1:9" x14ac:dyDescent="0.25">
      <c r="B36" s="3">
        <v>45857</v>
      </c>
      <c r="C36" s="1" t="s">
        <v>4</v>
      </c>
      <c r="F36" s="6">
        <f t="shared" si="0"/>
        <v>0</v>
      </c>
    </row>
    <row r="37" spans="1:9" x14ac:dyDescent="0.25">
      <c r="A37" t="s">
        <v>13</v>
      </c>
      <c r="B37" s="3">
        <v>45858</v>
      </c>
      <c r="C37" s="1" t="s">
        <v>6</v>
      </c>
      <c r="F37" s="6">
        <f t="shared" si="0"/>
        <v>0</v>
      </c>
    </row>
    <row r="38" spans="1:9" x14ac:dyDescent="0.25">
      <c r="B38" s="3">
        <v>45858</v>
      </c>
      <c r="C38" s="1" t="s">
        <v>4</v>
      </c>
      <c r="D38" s="2">
        <v>1677</v>
      </c>
      <c r="F38" s="6">
        <f t="shared" si="0"/>
        <v>1677</v>
      </c>
    </row>
    <row r="39" spans="1:9" x14ac:dyDescent="0.25">
      <c r="F39" s="6"/>
    </row>
    <row r="40" spans="1:9" x14ac:dyDescent="0.25">
      <c r="A40" t="s">
        <v>7</v>
      </c>
      <c r="B40" s="3">
        <v>45859</v>
      </c>
      <c r="C40" s="1" t="s">
        <v>3</v>
      </c>
      <c r="F40" s="6">
        <f t="shared" si="0"/>
        <v>0</v>
      </c>
      <c r="H40" s="7" t="s">
        <v>23</v>
      </c>
      <c r="I40" s="16" t="s">
        <v>50</v>
      </c>
    </row>
    <row r="41" spans="1:9" x14ac:dyDescent="0.25">
      <c r="B41" s="3">
        <v>45859</v>
      </c>
      <c r="C41" s="1" t="s">
        <v>4</v>
      </c>
      <c r="D41" s="2">
        <v>1327</v>
      </c>
      <c r="F41" s="6">
        <f t="shared" si="0"/>
        <v>1327</v>
      </c>
      <c r="H41" s="8">
        <f>SUM(F40:F50)</f>
        <v>12651</v>
      </c>
    </row>
    <row r="42" spans="1:9" x14ac:dyDescent="0.25">
      <c r="A42" t="s">
        <v>8</v>
      </c>
      <c r="B42" s="3">
        <v>45860</v>
      </c>
      <c r="C42" s="1" t="s">
        <v>4</v>
      </c>
      <c r="D42" s="2">
        <v>730</v>
      </c>
      <c r="F42" s="6">
        <f t="shared" si="0"/>
        <v>730</v>
      </c>
    </row>
    <row r="43" spans="1:9" x14ac:dyDescent="0.25">
      <c r="A43" t="s">
        <v>9</v>
      </c>
      <c r="B43" s="3">
        <v>45861</v>
      </c>
      <c r="C43" s="1" t="s">
        <v>4</v>
      </c>
      <c r="D43" s="2">
        <v>1644</v>
      </c>
      <c r="F43" s="6">
        <f t="shared" si="0"/>
        <v>1644</v>
      </c>
    </row>
    <row r="44" spans="1:9" x14ac:dyDescent="0.25">
      <c r="A44" t="s">
        <v>21</v>
      </c>
      <c r="B44" s="3">
        <v>45862</v>
      </c>
      <c r="C44" s="1" t="s">
        <v>4</v>
      </c>
      <c r="D44" s="2">
        <v>1831</v>
      </c>
      <c r="F44" s="6">
        <f t="shared" si="0"/>
        <v>1831</v>
      </c>
    </row>
    <row r="45" spans="1:9" x14ac:dyDescent="0.25">
      <c r="B45" s="3">
        <v>45862</v>
      </c>
      <c r="C45" s="1" t="s">
        <v>55</v>
      </c>
      <c r="F45" s="6">
        <f>D45+E45</f>
        <v>0</v>
      </c>
    </row>
    <row r="46" spans="1:9" x14ac:dyDescent="0.25">
      <c r="A46" t="s">
        <v>11</v>
      </c>
      <c r="B46" s="3">
        <v>45863</v>
      </c>
      <c r="C46" s="1" t="s">
        <v>4</v>
      </c>
      <c r="D46" s="2">
        <v>2138</v>
      </c>
      <c r="F46" s="6">
        <f t="shared" si="0"/>
        <v>2138</v>
      </c>
    </row>
    <row r="47" spans="1:9" x14ac:dyDescent="0.25">
      <c r="B47" s="3">
        <v>45863</v>
      </c>
      <c r="C47" s="1" t="s">
        <v>16</v>
      </c>
      <c r="D47" s="2">
        <v>2554</v>
      </c>
      <c r="F47" s="6">
        <f t="shared" si="0"/>
        <v>2554</v>
      </c>
    </row>
    <row r="48" spans="1:9" x14ac:dyDescent="0.25">
      <c r="A48" t="s">
        <v>12</v>
      </c>
      <c r="B48" s="3">
        <v>45864</v>
      </c>
      <c r="C48" s="1" t="s">
        <v>4</v>
      </c>
      <c r="D48" s="2">
        <v>1402</v>
      </c>
      <c r="F48" s="6">
        <f t="shared" si="0"/>
        <v>1402</v>
      </c>
    </row>
    <row r="49" spans="1:9" x14ac:dyDescent="0.25">
      <c r="B49" s="3">
        <v>45864</v>
      </c>
      <c r="C49" s="1" t="s">
        <v>16</v>
      </c>
      <c r="F49" s="6">
        <f t="shared" si="0"/>
        <v>0</v>
      </c>
    </row>
    <row r="50" spans="1:9" x14ac:dyDescent="0.25">
      <c r="A50" t="s">
        <v>13</v>
      </c>
      <c r="B50" s="3">
        <v>45865</v>
      </c>
      <c r="C50" s="1" t="s">
        <v>4</v>
      </c>
      <c r="D50" s="2">
        <v>1025</v>
      </c>
      <c r="F50" s="6">
        <f t="shared" si="0"/>
        <v>1025</v>
      </c>
    </row>
    <row r="51" spans="1:9" x14ac:dyDescent="0.25">
      <c r="F51" s="6">
        <f t="shared" si="0"/>
        <v>0</v>
      </c>
    </row>
    <row r="52" spans="1:9" x14ac:dyDescent="0.25">
      <c r="A52" t="s">
        <v>7</v>
      </c>
      <c r="B52" s="3">
        <v>45866</v>
      </c>
      <c r="C52" s="1" t="s">
        <v>3</v>
      </c>
      <c r="F52" s="6">
        <f t="shared" si="0"/>
        <v>0</v>
      </c>
      <c r="H52" s="7" t="s">
        <v>24</v>
      </c>
      <c r="I52" s="16" t="s">
        <v>49</v>
      </c>
    </row>
    <row r="53" spans="1:9" x14ac:dyDescent="0.25">
      <c r="B53" s="3">
        <v>45866</v>
      </c>
      <c r="C53" s="1" t="s">
        <v>4</v>
      </c>
      <c r="D53" s="2">
        <v>1617</v>
      </c>
      <c r="F53" s="6">
        <f t="shared" si="0"/>
        <v>1617</v>
      </c>
      <c r="H53" s="8">
        <f>SUM(F52:F71)</f>
        <v>13036</v>
      </c>
    </row>
    <row r="54" spans="1:9" x14ac:dyDescent="0.25">
      <c r="A54" t="s">
        <v>8</v>
      </c>
      <c r="B54" s="3">
        <v>45867</v>
      </c>
      <c r="C54" s="1" t="s">
        <v>4</v>
      </c>
      <c r="D54" s="17">
        <v>2102</v>
      </c>
      <c r="E54"/>
      <c r="F54" s="6">
        <f t="shared" si="0"/>
        <v>2102</v>
      </c>
    </row>
    <row r="55" spans="1:9" x14ac:dyDescent="0.25">
      <c r="A55" t="s">
        <v>9</v>
      </c>
      <c r="B55" s="3">
        <v>45868</v>
      </c>
      <c r="C55" s="1" t="s">
        <v>4</v>
      </c>
      <c r="D55"/>
      <c r="E55"/>
      <c r="F55" s="6">
        <f t="shared" si="0"/>
        <v>0</v>
      </c>
    </row>
    <row r="56" spans="1:9" x14ac:dyDescent="0.25">
      <c r="A56" t="s">
        <v>21</v>
      </c>
      <c r="B56" s="3">
        <v>45869</v>
      </c>
      <c r="C56" s="1" t="s">
        <v>4</v>
      </c>
      <c r="D56" s="17">
        <v>1704</v>
      </c>
      <c r="E56"/>
      <c r="F56" s="6">
        <f t="shared" si="0"/>
        <v>1704</v>
      </c>
    </row>
    <row r="57" spans="1:9" x14ac:dyDescent="0.25">
      <c r="A57" t="s">
        <v>11</v>
      </c>
      <c r="B57" s="3">
        <v>45870</v>
      </c>
      <c r="C57" s="1" t="s">
        <v>16</v>
      </c>
      <c r="D57"/>
      <c r="E57"/>
      <c r="F57" s="6">
        <f t="shared" si="0"/>
        <v>0</v>
      </c>
    </row>
    <row r="58" spans="1:9" x14ac:dyDescent="0.25">
      <c r="B58" s="3">
        <v>45870</v>
      </c>
      <c r="C58" s="1" t="s">
        <v>4</v>
      </c>
      <c r="D58" s="17">
        <v>2265</v>
      </c>
      <c r="E58"/>
      <c r="F58" s="6">
        <f t="shared" si="0"/>
        <v>2265</v>
      </c>
    </row>
    <row r="59" spans="1:9" x14ac:dyDescent="0.25">
      <c r="A59" t="s">
        <v>12</v>
      </c>
      <c r="B59" s="3">
        <v>45871</v>
      </c>
      <c r="C59" s="1" t="s">
        <v>16</v>
      </c>
      <c r="D59" s="17">
        <v>2240</v>
      </c>
      <c r="E59"/>
      <c r="F59" s="6">
        <f t="shared" si="0"/>
        <v>2240</v>
      </c>
    </row>
    <row r="60" spans="1:9" x14ac:dyDescent="0.25">
      <c r="B60" s="3">
        <v>45871</v>
      </c>
      <c r="C60" s="1" t="s">
        <v>4</v>
      </c>
      <c r="D60" s="17">
        <v>1766</v>
      </c>
      <c r="E60"/>
      <c r="F60" s="6">
        <f t="shared" si="0"/>
        <v>1766</v>
      </c>
    </row>
    <row r="61" spans="1:9" x14ac:dyDescent="0.25">
      <c r="B61" s="3">
        <v>45872</v>
      </c>
      <c r="C61" s="1" t="s">
        <v>4</v>
      </c>
      <c r="D61" s="17">
        <v>1342</v>
      </c>
      <c r="E61"/>
      <c r="F61" s="6">
        <f t="shared" si="0"/>
        <v>1342</v>
      </c>
    </row>
    <row r="62" spans="1:9" x14ac:dyDescent="0.25">
      <c r="B62"/>
      <c r="C62"/>
      <c r="D62"/>
      <c r="E62"/>
      <c r="F62" s="6">
        <f t="shared" si="0"/>
        <v>0</v>
      </c>
    </row>
    <row r="63" spans="1:9" ht="16" x14ac:dyDescent="0.2">
      <c r="B63"/>
      <c r="C63"/>
      <c r="D63"/>
      <c r="E63"/>
      <c r="F63"/>
    </row>
    <row r="64" spans="1:9" ht="16" x14ac:dyDescent="0.2">
      <c r="B64"/>
      <c r="C64"/>
      <c r="D64"/>
      <c r="E64"/>
      <c r="F6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87173-97EF-094A-872D-3A7B6EE38996}">
  <sheetPr>
    <tabColor rgb="FF00B0F0"/>
  </sheetPr>
  <dimension ref="A3:R64"/>
  <sheetViews>
    <sheetView workbookViewId="0">
      <selection activeCell="L25" sqref="L25"/>
    </sheetView>
  </sheetViews>
  <sheetFormatPr baseColWidth="10" defaultRowHeight="19" x14ac:dyDescent="0.25"/>
  <cols>
    <col min="2" max="2" width="13.6640625" style="3" customWidth="1"/>
    <col min="3" max="3" width="19.83203125" style="1" customWidth="1"/>
    <col min="4" max="4" width="10.83203125" style="2"/>
    <col min="5" max="6" width="10.83203125" style="1"/>
    <col min="8" max="8" width="13.33203125" customWidth="1"/>
    <col min="10" max="10" width="13.6640625" customWidth="1"/>
  </cols>
  <sheetData>
    <row r="3" spans="1:18" x14ac:dyDescent="0.25">
      <c r="B3" s="3" t="s">
        <v>48</v>
      </c>
      <c r="C3" s="1" t="s">
        <v>1</v>
      </c>
      <c r="D3" s="2" t="s">
        <v>2</v>
      </c>
      <c r="E3" s="2" t="s">
        <v>2</v>
      </c>
      <c r="F3" s="1" t="s">
        <v>26</v>
      </c>
    </row>
    <row r="4" spans="1:18" x14ac:dyDescent="0.25">
      <c r="E4" s="2"/>
    </row>
    <row r="5" spans="1:18" x14ac:dyDescent="0.25">
      <c r="A5" t="s">
        <v>7</v>
      </c>
      <c r="B5" s="3">
        <v>45873</v>
      </c>
      <c r="C5" s="1" t="s">
        <v>4</v>
      </c>
      <c r="D5" s="2">
        <v>2031</v>
      </c>
      <c r="F5" s="6">
        <f>D5+E5</f>
        <v>2031</v>
      </c>
      <c r="H5" s="7" t="s">
        <v>17</v>
      </c>
      <c r="I5" s="16" t="s">
        <v>53</v>
      </c>
      <c r="J5" s="7" t="s">
        <v>14</v>
      </c>
      <c r="O5" s="15"/>
    </row>
    <row r="6" spans="1:18" x14ac:dyDescent="0.25">
      <c r="B6" s="3">
        <v>45873</v>
      </c>
      <c r="C6" s="1" t="s">
        <v>3</v>
      </c>
      <c r="D6" s="2">
        <v>1874</v>
      </c>
      <c r="F6" s="6">
        <f t="shared" ref="F6:F62" si="0">D6+E6</f>
        <v>1874</v>
      </c>
      <c r="H6" s="8">
        <f>SUM(F5:F15)</f>
        <v>12618</v>
      </c>
      <c r="J6" s="5">
        <f>SUM(F5:F62)</f>
        <v>46391</v>
      </c>
      <c r="P6" t="s">
        <v>28</v>
      </c>
      <c r="Q6" s="10" t="s">
        <v>29</v>
      </c>
      <c r="R6" s="10" t="s">
        <v>30</v>
      </c>
    </row>
    <row r="7" spans="1:18" x14ac:dyDescent="0.25">
      <c r="A7" t="s">
        <v>8</v>
      </c>
      <c r="B7" s="3">
        <v>45874</v>
      </c>
      <c r="C7" s="1" t="s">
        <v>4</v>
      </c>
      <c r="D7" s="2">
        <v>1489</v>
      </c>
      <c r="F7" s="6">
        <f t="shared" si="0"/>
        <v>1489</v>
      </c>
      <c r="O7" t="s">
        <v>3</v>
      </c>
      <c r="P7">
        <v>4</v>
      </c>
      <c r="Q7" s="10">
        <f>D5+D17+D29+D40</f>
        <v>4813</v>
      </c>
      <c r="R7" s="14">
        <f>Q7/P7</f>
        <v>1203.25</v>
      </c>
    </row>
    <row r="8" spans="1:18" x14ac:dyDescent="0.25">
      <c r="A8" t="s">
        <v>9</v>
      </c>
      <c r="B8" s="3">
        <v>45875</v>
      </c>
      <c r="C8" s="1" t="s">
        <v>4</v>
      </c>
      <c r="D8" s="2">
        <v>1090</v>
      </c>
      <c r="F8" s="6">
        <f t="shared" si="0"/>
        <v>1090</v>
      </c>
      <c r="O8" t="s">
        <v>4</v>
      </c>
      <c r="P8">
        <v>31</v>
      </c>
      <c r="Q8" s="10" t="e">
        <f>D6+D8+D11+#REF!+#REF!+#REF!+#REF!+D18+D19+D20+#REF!+D23+D26+D30+D31+D32+D33+#REF!+D41+D42+D43+D44+D47+#REF!+#REF!+D53+#REF!+#REF!+#REF!</f>
        <v>#REF!</v>
      </c>
      <c r="R8" s="14" t="e">
        <f>Q8/P8</f>
        <v>#REF!</v>
      </c>
    </row>
    <row r="9" spans="1:18" x14ac:dyDescent="0.25">
      <c r="A9" t="s">
        <v>21</v>
      </c>
      <c r="B9" s="3">
        <v>45876</v>
      </c>
      <c r="C9" s="1" t="s">
        <v>4</v>
      </c>
      <c r="D9" s="2">
        <v>942</v>
      </c>
      <c r="F9" s="6">
        <f t="shared" si="0"/>
        <v>942</v>
      </c>
      <c r="O9" t="s">
        <v>16</v>
      </c>
      <c r="P9">
        <v>3</v>
      </c>
      <c r="Q9" s="10" t="e">
        <f>#REF!+#REF!+#REF!+D20+#REF!+#REF!+D50</f>
        <v>#REF!</v>
      </c>
      <c r="R9" s="14" t="e">
        <f t="shared" ref="R9:R11" si="1">Q9/P9</f>
        <v>#REF!</v>
      </c>
    </row>
    <row r="10" spans="1:18" x14ac:dyDescent="0.25">
      <c r="B10" s="3">
        <v>45876</v>
      </c>
      <c r="C10" s="1" t="s">
        <v>3</v>
      </c>
      <c r="F10" s="6">
        <f t="shared" si="0"/>
        <v>0</v>
      </c>
      <c r="Q10" s="10"/>
      <c r="R10" s="14"/>
    </row>
    <row r="11" spans="1:18" x14ac:dyDescent="0.25">
      <c r="A11" t="s">
        <v>11</v>
      </c>
      <c r="B11" s="3">
        <v>45877</v>
      </c>
      <c r="C11" s="1" t="s">
        <v>4</v>
      </c>
      <c r="D11" s="2">
        <v>1922</v>
      </c>
      <c r="F11" s="6">
        <f t="shared" si="0"/>
        <v>1922</v>
      </c>
      <c r="O11" t="s">
        <v>6</v>
      </c>
      <c r="P11">
        <v>7</v>
      </c>
      <c r="Q11" s="10" t="e">
        <f>D14+D15+D25+D36+#REF!+D50</f>
        <v>#REF!</v>
      </c>
      <c r="R11" s="14" t="e">
        <f t="shared" si="1"/>
        <v>#REF!</v>
      </c>
    </row>
    <row r="12" spans="1:18" x14ac:dyDescent="0.25">
      <c r="B12" s="3">
        <v>45877</v>
      </c>
      <c r="C12" s="1" t="s">
        <v>16</v>
      </c>
      <c r="F12" s="6">
        <f t="shared" si="0"/>
        <v>0</v>
      </c>
      <c r="Q12" s="10"/>
      <c r="R12" s="14"/>
    </row>
    <row r="13" spans="1:18" x14ac:dyDescent="0.25">
      <c r="A13" t="s">
        <v>12</v>
      </c>
      <c r="B13" s="3">
        <v>45878</v>
      </c>
      <c r="C13" s="1" t="s">
        <v>4</v>
      </c>
      <c r="D13" s="2">
        <v>1463</v>
      </c>
      <c r="F13" s="6">
        <f t="shared" si="0"/>
        <v>1463</v>
      </c>
      <c r="Q13" s="10"/>
      <c r="R13" s="14"/>
    </row>
    <row r="14" spans="1:18" x14ac:dyDescent="0.25">
      <c r="B14" s="3">
        <v>45878</v>
      </c>
      <c r="C14" s="1" t="s">
        <v>16</v>
      </c>
      <c r="F14" s="6">
        <f t="shared" si="0"/>
        <v>0</v>
      </c>
    </row>
    <row r="15" spans="1:18" x14ac:dyDescent="0.25">
      <c r="A15" t="s">
        <v>13</v>
      </c>
      <c r="B15" s="3">
        <v>45879</v>
      </c>
      <c r="C15" s="1" t="s">
        <v>4</v>
      </c>
      <c r="D15" s="2">
        <v>1807</v>
      </c>
      <c r="F15" s="6">
        <f t="shared" si="0"/>
        <v>1807</v>
      </c>
    </row>
    <row r="16" spans="1:18" x14ac:dyDescent="0.25">
      <c r="F16" s="6"/>
    </row>
    <row r="17" spans="1:12" x14ac:dyDescent="0.25">
      <c r="A17" t="s">
        <v>7</v>
      </c>
      <c r="B17" s="3">
        <v>45880</v>
      </c>
      <c r="C17" s="1" t="s">
        <v>4</v>
      </c>
      <c r="D17" s="2">
        <v>1005</v>
      </c>
      <c r="F17" s="6">
        <f t="shared" si="0"/>
        <v>1005</v>
      </c>
      <c r="H17" s="7" t="s">
        <v>18</v>
      </c>
      <c r="I17" s="16" t="s">
        <v>52</v>
      </c>
    </row>
    <row r="18" spans="1:12" x14ac:dyDescent="0.25">
      <c r="B18" s="3">
        <v>45880</v>
      </c>
      <c r="C18" s="1" t="s">
        <v>3</v>
      </c>
      <c r="D18" s="2">
        <v>0</v>
      </c>
      <c r="F18" s="6">
        <f t="shared" si="0"/>
        <v>0</v>
      </c>
      <c r="H18" s="8">
        <f>SUM(F17:F27)</f>
        <v>11165</v>
      </c>
    </row>
    <row r="19" spans="1:12" x14ac:dyDescent="0.25">
      <c r="A19" t="s">
        <v>8</v>
      </c>
      <c r="B19" s="3">
        <v>45881</v>
      </c>
      <c r="C19" s="1" t="s">
        <v>4</v>
      </c>
      <c r="D19" s="2">
        <v>1419</v>
      </c>
      <c r="F19" s="6">
        <f t="shared" si="0"/>
        <v>1419</v>
      </c>
    </row>
    <row r="20" spans="1:12" x14ac:dyDescent="0.25">
      <c r="A20" t="s">
        <v>9</v>
      </c>
      <c r="B20" s="3">
        <v>45882</v>
      </c>
      <c r="C20" s="1" t="s">
        <v>4</v>
      </c>
      <c r="D20" s="2">
        <v>1240</v>
      </c>
      <c r="F20" s="6">
        <f t="shared" si="0"/>
        <v>1240</v>
      </c>
    </row>
    <row r="21" spans="1:12" x14ac:dyDescent="0.25">
      <c r="A21" t="s">
        <v>21</v>
      </c>
      <c r="B21" s="3">
        <v>45883</v>
      </c>
      <c r="C21" s="1" t="s">
        <v>4</v>
      </c>
      <c r="D21" s="2">
        <v>845</v>
      </c>
      <c r="F21" s="6">
        <f>D21+E21</f>
        <v>845</v>
      </c>
      <c r="L21" s="18"/>
    </row>
    <row r="22" spans="1:12" x14ac:dyDescent="0.25">
      <c r="B22" s="3">
        <v>45883</v>
      </c>
      <c r="C22" s="1" t="s">
        <v>16</v>
      </c>
      <c r="D22" s="2">
        <v>0</v>
      </c>
      <c r="F22" s="6">
        <f>D22+E22</f>
        <v>0</v>
      </c>
      <c r="L22" s="18"/>
    </row>
    <row r="23" spans="1:12" x14ac:dyDescent="0.25">
      <c r="A23" t="s">
        <v>11</v>
      </c>
      <c r="B23" s="3">
        <v>45884</v>
      </c>
      <c r="C23" s="1" t="s">
        <v>4</v>
      </c>
      <c r="D23" s="2">
        <v>1599</v>
      </c>
      <c r="F23" s="6">
        <f t="shared" si="0"/>
        <v>1599</v>
      </c>
      <c r="L23" s="19"/>
    </row>
    <row r="24" spans="1:12" x14ac:dyDescent="0.25">
      <c r="B24" s="3">
        <v>45884</v>
      </c>
      <c r="C24" s="1" t="s">
        <v>16</v>
      </c>
      <c r="D24" s="2">
        <v>1923</v>
      </c>
      <c r="F24" s="6">
        <f t="shared" si="0"/>
        <v>1923</v>
      </c>
    </row>
    <row r="25" spans="1:12" x14ac:dyDescent="0.25">
      <c r="A25" t="s">
        <v>12</v>
      </c>
      <c r="B25" s="3">
        <v>45885</v>
      </c>
      <c r="C25" s="1" t="s">
        <v>4</v>
      </c>
      <c r="D25" s="2">
        <v>1737</v>
      </c>
      <c r="F25" s="6">
        <f t="shared" si="0"/>
        <v>1737</v>
      </c>
    </row>
    <row r="26" spans="1:12" x14ac:dyDescent="0.25">
      <c r="B26" s="3">
        <v>45885</v>
      </c>
      <c r="C26" s="1" t="s">
        <v>16</v>
      </c>
      <c r="D26" s="2">
        <v>0</v>
      </c>
      <c r="F26" s="6">
        <f t="shared" si="0"/>
        <v>0</v>
      </c>
    </row>
    <row r="27" spans="1:12" x14ac:dyDescent="0.25">
      <c r="A27" t="s">
        <v>13</v>
      </c>
      <c r="B27" s="3">
        <v>45886</v>
      </c>
      <c r="C27" s="1" t="s">
        <v>4</v>
      </c>
      <c r="D27" s="2">
        <v>1397</v>
      </c>
      <c r="F27" s="6">
        <f t="shared" si="0"/>
        <v>1397</v>
      </c>
    </row>
    <row r="28" spans="1:12" x14ac:dyDescent="0.25">
      <c r="F28" s="6"/>
    </row>
    <row r="29" spans="1:12" x14ac:dyDescent="0.25">
      <c r="A29" t="s">
        <v>7</v>
      </c>
      <c r="B29" s="3">
        <v>45887</v>
      </c>
      <c r="C29" s="1" t="s">
        <v>3</v>
      </c>
      <c r="D29" s="2">
        <v>1777</v>
      </c>
      <c r="F29" s="6">
        <f t="shared" si="0"/>
        <v>1777</v>
      </c>
      <c r="H29" s="7" t="s">
        <v>19</v>
      </c>
      <c r="I29" s="16" t="s">
        <v>51</v>
      </c>
    </row>
    <row r="30" spans="1:12" x14ac:dyDescent="0.25">
      <c r="B30" s="3">
        <v>45887</v>
      </c>
      <c r="C30" s="1" t="s">
        <v>4</v>
      </c>
      <c r="D30" s="2">
        <v>1291</v>
      </c>
      <c r="F30" s="6">
        <f t="shared" si="0"/>
        <v>1291</v>
      </c>
      <c r="H30" s="9">
        <f>SUM(F29:F38)</f>
        <v>12517</v>
      </c>
    </row>
    <row r="31" spans="1:12" x14ac:dyDescent="0.25">
      <c r="A31" t="s">
        <v>8</v>
      </c>
      <c r="B31" s="3">
        <v>45888</v>
      </c>
      <c r="C31" s="1" t="s">
        <v>4</v>
      </c>
      <c r="D31" s="2">
        <v>1524</v>
      </c>
      <c r="F31" s="6">
        <f t="shared" si="0"/>
        <v>1524</v>
      </c>
    </row>
    <row r="32" spans="1:12" x14ac:dyDescent="0.25">
      <c r="A32" t="s">
        <v>9</v>
      </c>
      <c r="B32" s="3">
        <v>45889</v>
      </c>
      <c r="C32" s="1" t="s">
        <v>4</v>
      </c>
      <c r="D32" s="2">
        <v>2165</v>
      </c>
      <c r="F32" s="6">
        <f t="shared" si="0"/>
        <v>2165</v>
      </c>
    </row>
    <row r="33" spans="1:9" x14ac:dyDescent="0.25">
      <c r="A33" t="s">
        <v>21</v>
      </c>
      <c r="B33" s="3">
        <v>45890</v>
      </c>
      <c r="C33" s="1" t="s">
        <v>4</v>
      </c>
      <c r="D33" s="2">
        <v>1117</v>
      </c>
      <c r="F33" s="6">
        <f t="shared" si="0"/>
        <v>1117</v>
      </c>
    </row>
    <row r="34" spans="1:9" x14ac:dyDescent="0.25">
      <c r="A34" t="s">
        <v>11</v>
      </c>
      <c r="B34" s="3">
        <v>45891</v>
      </c>
      <c r="C34" s="1" t="s">
        <v>4</v>
      </c>
      <c r="D34" s="2">
        <v>854</v>
      </c>
      <c r="F34" s="6">
        <f t="shared" si="0"/>
        <v>854</v>
      </c>
    </row>
    <row r="35" spans="1:9" x14ac:dyDescent="0.25">
      <c r="B35" s="3">
        <v>45891</v>
      </c>
      <c r="C35" s="1" t="s">
        <v>16</v>
      </c>
      <c r="F35" s="6">
        <f t="shared" si="0"/>
        <v>0</v>
      </c>
    </row>
    <row r="36" spans="1:9" x14ac:dyDescent="0.25">
      <c r="A36" t="s">
        <v>12</v>
      </c>
      <c r="B36" s="3">
        <v>45892</v>
      </c>
      <c r="C36" s="1" t="s">
        <v>16</v>
      </c>
      <c r="F36" s="6">
        <f t="shared" si="0"/>
        <v>0</v>
      </c>
    </row>
    <row r="37" spans="1:9" x14ac:dyDescent="0.25">
      <c r="B37" s="3">
        <v>45892</v>
      </c>
      <c r="C37" s="1" t="s">
        <v>4</v>
      </c>
      <c r="D37" s="2">
        <v>1497</v>
      </c>
      <c r="F37" s="6">
        <f t="shared" si="0"/>
        <v>1497</v>
      </c>
    </row>
    <row r="38" spans="1:9" x14ac:dyDescent="0.25">
      <c r="A38" t="s">
        <v>13</v>
      </c>
      <c r="B38" s="3">
        <v>45893</v>
      </c>
      <c r="C38" s="1" t="s">
        <v>4</v>
      </c>
      <c r="D38" s="2">
        <v>2292</v>
      </c>
      <c r="F38" s="6">
        <f t="shared" si="0"/>
        <v>2292</v>
      </c>
    </row>
    <row r="39" spans="1:9" x14ac:dyDescent="0.25">
      <c r="F39" s="6"/>
    </row>
    <row r="40" spans="1:9" x14ac:dyDescent="0.25">
      <c r="A40" t="s">
        <v>7</v>
      </c>
      <c r="B40" s="3">
        <v>45894</v>
      </c>
      <c r="C40" s="1" t="s">
        <v>3</v>
      </c>
      <c r="F40" s="6">
        <f t="shared" si="0"/>
        <v>0</v>
      </c>
      <c r="H40" s="7" t="s">
        <v>23</v>
      </c>
      <c r="I40" s="16" t="s">
        <v>50</v>
      </c>
    </row>
    <row r="41" spans="1:9" x14ac:dyDescent="0.25">
      <c r="B41" s="3">
        <v>45894</v>
      </c>
      <c r="C41" s="1" t="s">
        <v>4</v>
      </c>
      <c r="D41" s="2">
        <v>1697</v>
      </c>
      <c r="F41" s="6">
        <f t="shared" si="0"/>
        <v>1697</v>
      </c>
      <c r="H41" s="8">
        <f>SUM(F40:F50)</f>
        <v>10091</v>
      </c>
    </row>
    <row r="42" spans="1:9" x14ac:dyDescent="0.25">
      <c r="A42" t="s">
        <v>8</v>
      </c>
      <c r="B42" s="3">
        <v>45895</v>
      </c>
      <c r="C42" s="1" t="s">
        <v>4</v>
      </c>
      <c r="D42" s="2">
        <v>1373</v>
      </c>
      <c r="F42" s="6">
        <f t="shared" si="0"/>
        <v>1373</v>
      </c>
    </row>
    <row r="43" spans="1:9" x14ac:dyDescent="0.25">
      <c r="A43" t="s">
        <v>9</v>
      </c>
      <c r="B43" s="3">
        <v>45896</v>
      </c>
      <c r="C43" s="1" t="s">
        <v>4</v>
      </c>
      <c r="D43" s="2">
        <v>1278</v>
      </c>
      <c r="F43" s="6">
        <f t="shared" si="0"/>
        <v>1278</v>
      </c>
    </row>
    <row r="44" spans="1:9" x14ac:dyDescent="0.25">
      <c r="A44" t="s">
        <v>21</v>
      </c>
      <c r="B44" s="3">
        <v>45897</v>
      </c>
      <c r="C44" s="1" t="s">
        <v>4</v>
      </c>
      <c r="D44" s="2">
        <v>1242</v>
      </c>
      <c r="F44" s="6">
        <f t="shared" si="0"/>
        <v>1242</v>
      </c>
    </row>
    <row r="45" spans="1:9" x14ac:dyDescent="0.25">
      <c r="B45" s="3">
        <v>45897</v>
      </c>
      <c r="C45" s="1" t="s">
        <v>55</v>
      </c>
      <c r="F45" s="6">
        <f>D45+E45</f>
        <v>0</v>
      </c>
    </row>
    <row r="46" spans="1:9" x14ac:dyDescent="0.25">
      <c r="A46" t="s">
        <v>11</v>
      </c>
      <c r="B46" s="3">
        <v>45898</v>
      </c>
      <c r="C46" s="1" t="s">
        <v>4</v>
      </c>
      <c r="D46" s="2">
        <v>1937</v>
      </c>
      <c r="F46" s="6">
        <f t="shared" si="0"/>
        <v>1937</v>
      </c>
    </row>
    <row r="47" spans="1:9" x14ac:dyDescent="0.25">
      <c r="B47" s="3">
        <v>45898</v>
      </c>
      <c r="C47" s="1" t="s">
        <v>16</v>
      </c>
      <c r="F47" s="6">
        <f t="shared" si="0"/>
        <v>0</v>
      </c>
    </row>
    <row r="48" spans="1:9" x14ac:dyDescent="0.25">
      <c r="A48" t="s">
        <v>12</v>
      </c>
      <c r="B48" s="3">
        <v>45899</v>
      </c>
      <c r="C48" s="1" t="s">
        <v>4</v>
      </c>
      <c r="D48" s="2">
        <v>1406</v>
      </c>
      <c r="F48" s="6">
        <f t="shared" si="0"/>
        <v>1406</v>
      </c>
    </row>
    <row r="49" spans="1:9" x14ac:dyDescent="0.25">
      <c r="B49" s="3">
        <v>45899</v>
      </c>
      <c r="C49" s="1" t="s">
        <v>16</v>
      </c>
      <c r="F49" s="6">
        <f t="shared" si="0"/>
        <v>0</v>
      </c>
    </row>
    <row r="50" spans="1:9" x14ac:dyDescent="0.25">
      <c r="A50" t="s">
        <v>13</v>
      </c>
      <c r="B50" s="3">
        <v>45900</v>
      </c>
      <c r="C50" s="1" t="s">
        <v>4</v>
      </c>
      <c r="D50" s="2">
        <v>1158</v>
      </c>
      <c r="F50" s="6">
        <f t="shared" si="0"/>
        <v>1158</v>
      </c>
    </row>
    <row r="51" spans="1:9" x14ac:dyDescent="0.25">
      <c r="F51" s="6">
        <f t="shared" si="0"/>
        <v>0</v>
      </c>
    </row>
    <row r="52" spans="1:9" x14ac:dyDescent="0.25">
      <c r="A52" t="s">
        <v>7</v>
      </c>
      <c r="B52" s="3">
        <v>45866</v>
      </c>
      <c r="C52" s="1" t="s">
        <v>3</v>
      </c>
      <c r="F52" s="6">
        <f t="shared" si="0"/>
        <v>0</v>
      </c>
      <c r="H52" s="7" t="s">
        <v>24</v>
      </c>
      <c r="I52" s="16" t="s">
        <v>49</v>
      </c>
    </row>
    <row r="53" spans="1:9" x14ac:dyDescent="0.25">
      <c r="B53" s="3">
        <v>45866</v>
      </c>
      <c r="C53" s="1" t="s">
        <v>4</v>
      </c>
      <c r="F53" s="6">
        <f t="shared" si="0"/>
        <v>0</v>
      </c>
      <c r="H53" s="8">
        <f>SUM(F52:F71)</f>
        <v>0</v>
      </c>
    </row>
    <row r="54" spans="1:9" x14ac:dyDescent="0.25">
      <c r="A54" t="s">
        <v>8</v>
      </c>
      <c r="B54" s="3">
        <v>45867</v>
      </c>
      <c r="C54" s="1" t="s">
        <v>4</v>
      </c>
      <c r="D54" s="17"/>
      <c r="E54"/>
      <c r="F54" s="6">
        <f t="shared" si="0"/>
        <v>0</v>
      </c>
    </row>
    <row r="55" spans="1:9" x14ac:dyDescent="0.25">
      <c r="A55" t="s">
        <v>9</v>
      </c>
      <c r="B55" s="3">
        <v>45868</v>
      </c>
      <c r="C55" s="1" t="s">
        <v>4</v>
      </c>
      <c r="D55"/>
      <c r="E55"/>
      <c r="F55" s="6">
        <f t="shared" si="0"/>
        <v>0</v>
      </c>
    </row>
    <row r="56" spans="1:9" x14ac:dyDescent="0.25">
      <c r="A56" t="s">
        <v>21</v>
      </c>
      <c r="B56" s="3">
        <v>45869</v>
      </c>
      <c r="C56" s="1" t="s">
        <v>4</v>
      </c>
      <c r="D56" s="17"/>
      <c r="E56"/>
      <c r="F56" s="6">
        <f t="shared" si="0"/>
        <v>0</v>
      </c>
    </row>
    <row r="57" spans="1:9" x14ac:dyDescent="0.25">
      <c r="A57" t="s">
        <v>11</v>
      </c>
      <c r="B57" s="3">
        <v>45870</v>
      </c>
      <c r="C57" s="1" t="s">
        <v>16</v>
      </c>
      <c r="D57"/>
      <c r="E57"/>
      <c r="F57" s="6">
        <f t="shared" si="0"/>
        <v>0</v>
      </c>
    </row>
    <row r="58" spans="1:9" x14ac:dyDescent="0.25">
      <c r="B58" s="3">
        <v>45870</v>
      </c>
      <c r="C58" s="1" t="s">
        <v>4</v>
      </c>
      <c r="D58" s="17"/>
      <c r="E58"/>
      <c r="F58" s="6">
        <f t="shared" si="0"/>
        <v>0</v>
      </c>
    </row>
    <row r="59" spans="1:9" x14ac:dyDescent="0.25">
      <c r="A59" t="s">
        <v>12</v>
      </c>
      <c r="B59" s="3">
        <v>45871</v>
      </c>
      <c r="C59" s="1" t="s">
        <v>16</v>
      </c>
      <c r="D59" s="17"/>
      <c r="E59"/>
      <c r="F59" s="6">
        <f t="shared" si="0"/>
        <v>0</v>
      </c>
    </row>
    <row r="60" spans="1:9" x14ac:dyDescent="0.25">
      <c r="B60" s="3">
        <v>45871</v>
      </c>
      <c r="C60" s="1" t="s">
        <v>4</v>
      </c>
      <c r="D60" s="17"/>
      <c r="E60"/>
      <c r="F60" s="6">
        <f t="shared" si="0"/>
        <v>0</v>
      </c>
    </row>
    <row r="61" spans="1:9" x14ac:dyDescent="0.25">
      <c r="B61" s="3">
        <v>45872</v>
      </c>
      <c r="C61" s="1" t="s">
        <v>4</v>
      </c>
      <c r="D61"/>
      <c r="E61"/>
      <c r="F61" s="6">
        <f t="shared" si="0"/>
        <v>0</v>
      </c>
    </row>
    <row r="62" spans="1:9" x14ac:dyDescent="0.25">
      <c r="B62"/>
      <c r="C62"/>
      <c r="D62"/>
      <c r="E62"/>
      <c r="F62" s="6">
        <f t="shared" si="0"/>
        <v>0</v>
      </c>
    </row>
    <row r="63" spans="1:9" ht="16" x14ac:dyDescent="0.2">
      <c r="B63"/>
      <c r="C63"/>
      <c r="D63"/>
      <c r="E63"/>
      <c r="F63"/>
    </row>
    <row r="64" spans="1:9" ht="16" x14ac:dyDescent="0.2">
      <c r="B64"/>
      <c r="C64"/>
      <c r="D64"/>
      <c r="E64"/>
      <c r="F6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C5ABC-C23C-104C-A485-E7D223E94F95}">
  <sheetPr>
    <tabColor rgb="FFC00000"/>
  </sheetPr>
  <dimension ref="A3:L66"/>
  <sheetViews>
    <sheetView topLeftCell="A37" workbookViewId="0">
      <selection activeCell="K20" sqref="K20"/>
    </sheetView>
  </sheetViews>
  <sheetFormatPr baseColWidth="10" defaultRowHeight="19" x14ac:dyDescent="0.25"/>
  <cols>
    <col min="2" max="2" width="13.6640625" style="3" customWidth="1"/>
    <col min="3" max="3" width="19.83203125" style="1" customWidth="1"/>
    <col min="4" max="4" width="10.83203125" style="2"/>
    <col min="5" max="6" width="10.83203125" style="1"/>
    <col min="8" max="8" width="13.33203125" customWidth="1"/>
    <col min="10" max="10" width="13.6640625" customWidth="1"/>
  </cols>
  <sheetData>
    <row r="3" spans="1:10" x14ac:dyDescent="0.25">
      <c r="B3" s="3" t="s">
        <v>48</v>
      </c>
      <c r="C3" s="1" t="s">
        <v>1</v>
      </c>
      <c r="D3" s="2" t="s">
        <v>2</v>
      </c>
      <c r="E3" s="2" t="s">
        <v>2</v>
      </c>
      <c r="F3" s="1" t="s">
        <v>26</v>
      </c>
    </row>
    <row r="4" spans="1:10" x14ac:dyDescent="0.25">
      <c r="E4" s="2"/>
    </row>
    <row r="5" spans="1:10" x14ac:dyDescent="0.25">
      <c r="A5" t="s">
        <v>7</v>
      </c>
      <c r="B5" s="3">
        <v>45901</v>
      </c>
      <c r="C5" s="1" t="s">
        <v>4</v>
      </c>
      <c r="D5" s="2">
        <v>2765</v>
      </c>
      <c r="F5" s="6">
        <f>D5+E5</f>
        <v>2765</v>
      </c>
      <c r="H5" s="7" t="s">
        <v>17</v>
      </c>
      <c r="I5" s="16" t="s">
        <v>53</v>
      </c>
      <c r="J5" s="7" t="s">
        <v>14</v>
      </c>
    </row>
    <row r="6" spans="1:10" x14ac:dyDescent="0.25">
      <c r="B6" s="3">
        <v>45901</v>
      </c>
      <c r="C6" s="1" t="s">
        <v>3</v>
      </c>
      <c r="D6" s="2">
        <v>1996</v>
      </c>
      <c r="F6" s="6">
        <f t="shared" ref="F6:F64" si="0">D6+E6</f>
        <v>1996</v>
      </c>
      <c r="H6" s="8">
        <f>SUM(F5:F17)</f>
        <v>28953</v>
      </c>
      <c r="J6" s="5">
        <f>SUM(F5:F64)</f>
        <v>62726</v>
      </c>
    </row>
    <row r="7" spans="1:10" x14ac:dyDescent="0.25">
      <c r="A7" t="s">
        <v>8</v>
      </c>
      <c r="B7" s="3">
        <v>45902</v>
      </c>
      <c r="C7" s="1" t="s">
        <v>57</v>
      </c>
      <c r="D7" s="2">
        <v>1505</v>
      </c>
      <c r="F7" s="6">
        <f t="shared" si="0"/>
        <v>1505</v>
      </c>
      <c r="H7" s="8"/>
      <c r="J7" s="5"/>
    </row>
    <row r="8" spans="1:10" x14ac:dyDescent="0.25">
      <c r="B8" s="3">
        <v>45902</v>
      </c>
      <c r="C8" s="1" t="s">
        <v>4</v>
      </c>
      <c r="D8" s="2">
        <v>8989</v>
      </c>
      <c r="F8" s="6">
        <f t="shared" si="0"/>
        <v>8989</v>
      </c>
    </row>
    <row r="9" spans="1:10" x14ac:dyDescent="0.25">
      <c r="A9" t="s">
        <v>9</v>
      </c>
      <c r="B9" s="3">
        <v>45903</v>
      </c>
      <c r="C9" s="1" t="s">
        <v>4</v>
      </c>
      <c r="D9" s="2">
        <v>1534</v>
      </c>
      <c r="F9" s="6">
        <f t="shared" si="0"/>
        <v>1534</v>
      </c>
    </row>
    <row r="10" spans="1:10" x14ac:dyDescent="0.25">
      <c r="B10" s="3">
        <v>45904</v>
      </c>
      <c r="C10" s="1" t="s">
        <v>58</v>
      </c>
      <c r="D10" s="2">
        <v>3926</v>
      </c>
      <c r="F10" s="6">
        <f t="shared" si="0"/>
        <v>3926</v>
      </c>
    </row>
    <row r="11" spans="1:10" x14ac:dyDescent="0.25">
      <c r="A11" t="s">
        <v>21</v>
      </c>
      <c r="B11" s="3">
        <v>45904</v>
      </c>
      <c r="C11" s="1" t="s">
        <v>4</v>
      </c>
      <c r="D11" s="2">
        <v>1891</v>
      </c>
      <c r="F11" s="6">
        <f t="shared" si="0"/>
        <v>1891</v>
      </c>
    </row>
    <row r="12" spans="1:10" x14ac:dyDescent="0.25">
      <c r="B12" s="3">
        <v>45904</v>
      </c>
      <c r="C12" s="1" t="s">
        <v>56</v>
      </c>
      <c r="D12" s="2">
        <v>1032</v>
      </c>
      <c r="F12" s="6">
        <f t="shared" si="0"/>
        <v>1032</v>
      </c>
    </row>
    <row r="13" spans="1:10" x14ac:dyDescent="0.25">
      <c r="A13" t="s">
        <v>11</v>
      </c>
      <c r="B13" s="3">
        <v>45905</v>
      </c>
      <c r="C13" s="1" t="s">
        <v>4</v>
      </c>
      <c r="D13" s="2">
        <v>1719</v>
      </c>
      <c r="F13" s="6">
        <f t="shared" si="0"/>
        <v>1719</v>
      </c>
    </row>
    <row r="14" spans="1:10" x14ac:dyDescent="0.25">
      <c r="B14" s="3">
        <v>45905</v>
      </c>
      <c r="C14" s="1" t="s">
        <v>16</v>
      </c>
      <c r="D14" s="2">
        <v>1123</v>
      </c>
      <c r="F14" s="6">
        <f t="shared" si="0"/>
        <v>1123</v>
      </c>
    </row>
    <row r="15" spans="1:10" x14ac:dyDescent="0.25">
      <c r="A15" t="s">
        <v>12</v>
      </c>
      <c r="B15" s="3">
        <v>45906</v>
      </c>
      <c r="C15" s="1" t="s">
        <v>4</v>
      </c>
      <c r="F15" s="6">
        <f t="shared" si="0"/>
        <v>0</v>
      </c>
    </row>
    <row r="16" spans="1:10" x14ac:dyDescent="0.25">
      <c r="B16" s="3">
        <v>45906</v>
      </c>
      <c r="C16" s="1" t="s">
        <v>16</v>
      </c>
      <c r="D16" s="2">
        <v>2473</v>
      </c>
      <c r="F16" s="6">
        <f t="shared" si="0"/>
        <v>2473</v>
      </c>
    </row>
    <row r="17" spans="1:12" x14ac:dyDescent="0.25">
      <c r="A17" t="s">
        <v>13</v>
      </c>
      <c r="B17" s="3">
        <v>45907</v>
      </c>
      <c r="C17" s="1" t="s">
        <v>4</v>
      </c>
      <c r="F17" s="6">
        <f t="shared" si="0"/>
        <v>0</v>
      </c>
    </row>
    <row r="18" spans="1:12" x14ac:dyDescent="0.25">
      <c r="F18" s="6"/>
    </row>
    <row r="19" spans="1:12" x14ac:dyDescent="0.25">
      <c r="A19" t="s">
        <v>7</v>
      </c>
      <c r="B19" s="3">
        <v>45908</v>
      </c>
      <c r="C19" s="1" t="s">
        <v>4</v>
      </c>
      <c r="D19" s="2">
        <v>1005</v>
      </c>
      <c r="F19" s="6">
        <f t="shared" si="0"/>
        <v>1005</v>
      </c>
      <c r="H19" s="7" t="s">
        <v>18</v>
      </c>
      <c r="I19" s="16" t="s">
        <v>52</v>
      </c>
    </row>
    <row r="20" spans="1:12" x14ac:dyDescent="0.25">
      <c r="B20" s="3">
        <v>45908</v>
      </c>
      <c r="C20" s="1" t="s">
        <v>3</v>
      </c>
      <c r="D20" s="2">
        <v>0</v>
      </c>
      <c r="F20" s="6">
        <f t="shared" si="0"/>
        <v>0</v>
      </c>
      <c r="H20" s="8">
        <f>SUM(F19:F29)</f>
        <v>11165</v>
      </c>
    </row>
    <row r="21" spans="1:12" x14ac:dyDescent="0.25">
      <c r="A21" t="s">
        <v>8</v>
      </c>
      <c r="B21" s="3">
        <v>45909</v>
      </c>
      <c r="C21" s="1" t="s">
        <v>4</v>
      </c>
      <c r="D21" s="2">
        <v>1419</v>
      </c>
      <c r="F21" s="6">
        <f t="shared" si="0"/>
        <v>1419</v>
      </c>
    </row>
    <row r="22" spans="1:12" x14ac:dyDescent="0.25">
      <c r="A22" t="s">
        <v>9</v>
      </c>
      <c r="B22" s="3">
        <v>45910</v>
      </c>
      <c r="C22" s="1" t="s">
        <v>4</v>
      </c>
      <c r="D22" s="2">
        <v>1240</v>
      </c>
      <c r="F22" s="6">
        <f t="shared" si="0"/>
        <v>1240</v>
      </c>
    </row>
    <row r="23" spans="1:12" x14ac:dyDescent="0.25">
      <c r="A23" t="s">
        <v>21</v>
      </c>
      <c r="B23" s="3">
        <v>45911</v>
      </c>
      <c r="C23" s="1" t="s">
        <v>4</v>
      </c>
      <c r="D23" s="2">
        <v>845</v>
      </c>
      <c r="F23" s="6">
        <f>D23+E23</f>
        <v>845</v>
      </c>
      <c r="L23" s="18"/>
    </row>
    <row r="24" spans="1:12" x14ac:dyDescent="0.25">
      <c r="B24" s="3">
        <v>45911</v>
      </c>
      <c r="C24" s="1" t="s">
        <v>16</v>
      </c>
      <c r="D24" s="2">
        <v>0</v>
      </c>
      <c r="F24" s="6">
        <f>D24+E24</f>
        <v>0</v>
      </c>
      <c r="L24" s="18"/>
    </row>
    <row r="25" spans="1:12" x14ac:dyDescent="0.25">
      <c r="A25" t="s">
        <v>11</v>
      </c>
      <c r="B25" s="3">
        <v>45912</v>
      </c>
      <c r="C25" s="1" t="s">
        <v>4</v>
      </c>
      <c r="D25" s="2">
        <v>1599</v>
      </c>
      <c r="F25" s="6">
        <f t="shared" si="0"/>
        <v>1599</v>
      </c>
      <c r="L25" s="19"/>
    </row>
    <row r="26" spans="1:12" x14ac:dyDescent="0.25">
      <c r="B26" s="3">
        <v>45912</v>
      </c>
      <c r="C26" s="1" t="s">
        <v>16</v>
      </c>
      <c r="D26" s="2">
        <v>1923</v>
      </c>
      <c r="F26" s="6">
        <f t="shared" si="0"/>
        <v>1923</v>
      </c>
    </row>
    <row r="27" spans="1:12" x14ac:dyDescent="0.25">
      <c r="A27" t="s">
        <v>12</v>
      </c>
      <c r="B27" s="3">
        <v>45913</v>
      </c>
      <c r="C27" s="1" t="s">
        <v>4</v>
      </c>
      <c r="D27" s="2">
        <v>1737</v>
      </c>
      <c r="F27" s="6">
        <f t="shared" si="0"/>
        <v>1737</v>
      </c>
    </row>
    <row r="28" spans="1:12" x14ac:dyDescent="0.25">
      <c r="B28" s="3">
        <v>45913</v>
      </c>
      <c r="C28" s="1" t="s">
        <v>16</v>
      </c>
      <c r="D28" s="2">
        <v>0</v>
      </c>
      <c r="F28" s="6">
        <f t="shared" si="0"/>
        <v>0</v>
      </c>
    </row>
    <row r="29" spans="1:12" x14ac:dyDescent="0.25">
      <c r="A29" t="s">
        <v>13</v>
      </c>
      <c r="B29" s="3">
        <v>45914</v>
      </c>
      <c r="C29" s="1" t="s">
        <v>4</v>
      </c>
      <c r="D29" s="2">
        <v>1397</v>
      </c>
      <c r="F29" s="6">
        <f t="shared" si="0"/>
        <v>1397</v>
      </c>
    </row>
    <row r="30" spans="1:12" x14ac:dyDescent="0.25">
      <c r="F30" s="6"/>
    </row>
    <row r="31" spans="1:12" x14ac:dyDescent="0.25">
      <c r="A31" t="s">
        <v>7</v>
      </c>
      <c r="B31" s="3">
        <v>45915</v>
      </c>
      <c r="C31" s="1" t="s">
        <v>3</v>
      </c>
      <c r="D31" s="2">
        <v>1777</v>
      </c>
      <c r="F31" s="6">
        <f t="shared" si="0"/>
        <v>1777</v>
      </c>
      <c r="H31" s="7" t="s">
        <v>19</v>
      </c>
      <c r="I31" s="16" t="s">
        <v>51</v>
      </c>
    </row>
    <row r="32" spans="1:12" x14ac:dyDescent="0.25">
      <c r="B32" s="3">
        <v>45915</v>
      </c>
      <c r="C32" s="1" t="s">
        <v>4</v>
      </c>
      <c r="D32" s="2">
        <v>1291</v>
      </c>
      <c r="F32" s="6">
        <f t="shared" si="0"/>
        <v>1291</v>
      </c>
      <c r="H32" s="9">
        <f>SUM(F31:F40)</f>
        <v>12517</v>
      </c>
    </row>
    <row r="33" spans="1:9" x14ac:dyDescent="0.25">
      <c r="A33" t="s">
        <v>8</v>
      </c>
      <c r="B33" s="3">
        <v>45916</v>
      </c>
      <c r="C33" s="1" t="s">
        <v>4</v>
      </c>
      <c r="D33" s="2">
        <v>1524</v>
      </c>
      <c r="F33" s="6">
        <f t="shared" si="0"/>
        <v>1524</v>
      </c>
    </row>
    <row r="34" spans="1:9" x14ac:dyDescent="0.25">
      <c r="A34" t="s">
        <v>9</v>
      </c>
      <c r="B34" s="3">
        <v>45917</v>
      </c>
      <c r="C34" s="1" t="s">
        <v>4</v>
      </c>
      <c r="D34" s="2">
        <v>2165</v>
      </c>
      <c r="F34" s="6">
        <f t="shared" si="0"/>
        <v>2165</v>
      </c>
    </row>
    <row r="35" spans="1:9" x14ac:dyDescent="0.25">
      <c r="A35" t="s">
        <v>21</v>
      </c>
      <c r="B35" s="3">
        <v>45918</v>
      </c>
      <c r="C35" s="1" t="s">
        <v>4</v>
      </c>
      <c r="D35" s="2">
        <v>1117</v>
      </c>
      <c r="F35" s="6">
        <f t="shared" si="0"/>
        <v>1117</v>
      </c>
    </row>
    <row r="36" spans="1:9" x14ac:dyDescent="0.25">
      <c r="A36" t="s">
        <v>11</v>
      </c>
      <c r="B36" s="3">
        <v>45919</v>
      </c>
      <c r="C36" s="1" t="s">
        <v>4</v>
      </c>
      <c r="D36" s="2">
        <v>854</v>
      </c>
      <c r="F36" s="6">
        <f t="shared" si="0"/>
        <v>854</v>
      </c>
    </row>
    <row r="37" spans="1:9" x14ac:dyDescent="0.25">
      <c r="B37" s="3">
        <v>45919</v>
      </c>
      <c r="C37" s="1" t="s">
        <v>16</v>
      </c>
      <c r="F37" s="6">
        <f t="shared" si="0"/>
        <v>0</v>
      </c>
    </row>
    <row r="38" spans="1:9" x14ac:dyDescent="0.25">
      <c r="A38" t="s">
        <v>12</v>
      </c>
      <c r="B38" s="3">
        <v>45920</v>
      </c>
      <c r="C38" s="1" t="s">
        <v>16</v>
      </c>
      <c r="F38" s="6">
        <f t="shared" si="0"/>
        <v>0</v>
      </c>
    </row>
    <row r="39" spans="1:9" x14ac:dyDescent="0.25">
      <c r="B39" s="3">
        <v>45920</v>
      </c>
      <c r="C39" s="1" t="s">
        <v>4</v>
      </c>
      <c r="D39" s="2">
        <v>1497</v>
      </c>
      <c r="F39" s="6">
        <f t="shared" si="0"/>
        <v>1497</v>
      </c>
    </row>
    <row r="40" spans="1:9" x14ac:dyDescent="0.25">
      <c r="A40" t="s">
        <v>13</v>
      </c>
      <c r="B40" s="3">
        <v>45921</v>
      </c>
      <c r="C40" s="1" t="s">
        <v>4</v>
      </c>
      <c r="D40" s="2">
        <v>2292</v>
      </c>
      <c r="F40" s="6">
        <f t="shared" si="0"/>
        <v>2292</v>
      </c>
    </row>
    <row r="41" spans="1:9" x14ac:dyDescent="0.25">
      <c r="F41" s="6"/>
    </row>
    <row r="42" spans="1:9" x14ac:dyDescent="0.25">
      <c r="A42" t="s">
        <v>7</v>
      </c>
      <c r="B42" s="3">
        <v>45922</v>
      </c>
      <c r="C42" s="1" t="s">
        <v>3</v>
      </c>
      <c r="F42" s="6">
        <f t="shared" si="0"/>
        <v>0</v>
      </c>
      <c r="H42" s="7" t="s">
        <v>23</v>
      </c>
      <c r="I42" s="16" t="s">
        <v>50</v>
      </c>
    </row>
    <row r="43" spans="1:9" x14ac:dyDescent="0.25">
      <c r="B43" s="3">
        <v>45922</v>
      </c>
      <c r="C43" s="1" t="s">
        <v>4</v>
      </c>
      <c r="D43" s="2">
        <v>1697</v>
      </c>
      <c r="F43" s="6">
        <f t="shared" si="0"/>
        <v>1697</v>
      </c>
      <c r="H43" s="8">
        <f>SUM(F42:F52)</f>
        <v>10091</v>
      </c>
    </row>
    <row r="44" spans="1:9" x14ac:dyDescent="0.25">
      <c r="A44" t="s">
        <v>8</v>
      </c>
      <c r="B44" s="3">
        <v>45923</v>
      </c>
      <c r="C44" s="1" t="s">
        <v>4</v>
      </c>
      <c r="D44" s="2">
        <v>1373</v>
      </c>
      <c r="F44" s="6">
        <f t="shared" si="0"/>
        <v>1373</v>
      </c>
    </row>
    <row r="45" spans="1:9" x14ac:dyDescent="0.25">
      <c r="A45" t="s">
        <v>9</v>
      </c>
      <c r="B45" s="3">
        <v>45924</v>
      </c>
      <c r="C45" s="1" t="s">
        <v>4</v>
      </c>
      <c r="D45" s="2">
        <v>1278</v>
      </c>
      <c r="F45" s="6">
        <f t="shared" si="0"/>
        <v>1278</v>
      </c>
    </row>
    <row r="46" spans="1:9" x14ac:dyDescent="0.25">
      <c r="A46" t="s">
        <v>21</v>
      </c>
      <c r="B46" s="3">
        <v>45925</v>
      </c>
      <c r="C46" s="1" t="s">
        <v>4</v>
      </c>
      <c r="D46" s="2">
        <v>1242</v>
      </c>
      <c r="F46" s="6">
        <f t="shared" si="0"/>
        <v>1242</v>
      </c>
    </row>
    <row r="47" spans="1:9" x14ac:dyDescent="0.25">
      <c r="B47" s="3">
        <v>45925</v>
      </c>
      <c r="C47" s="1" t="s">
        <v>55</v>
      </c>
      <c r="F47" s="6">
        <f>D47+E47</f>
        <v>0</v>
      </c>
    </row>
    <row r="48" spans="1:9" x14ac:dyDescent="0.25">
      <c r="A48" t="s">
        <v>11</v>
      </c>
      <c r="B48" s="3">
        <v>45926</v>
      </c>
      <c r="C48" s="1" t="s">
        <v>4</v>
      </c>
      <c r="D48" s="2">
        <v>1937</v>
      </c>
      <c r="F48" s="6">
        <f t="shared" si="0"/>
        <v>1937</v>
      </c>
    </row>
    <row r="49" spans="1:9" x14ac:dyDescent="0.25">
      <c r="B49" s="3">
        <v>45926</v>
      </c>
      <c r="C49" s="1" t="s">
        <v>16</v>
      </c>
      <c r="F49" s="6">
        <f t="shared" si="0"/>
        <v>0</v>
      </c>
    </row>
    <row r="50" spans="1:9" x14ac:dyDescent="0.25">
      <c r="A50" t="s">
        <v>12</v>
      </c>
      <c r="B50" s="3">
        <v>45927</v>
      </c>
      <c r="C50" s="1" t="s">
        <v>4</v>
      </c>
      <c r="D50" s="2">
        <v>1406</v>
      </c>
      <c r="F50" s="6">
        <f t="shared" si="0"/>
        <v>1406</v>
      </c>
    </row>
    <row r="51" spans="1:9" x14ac:dyDescent="0.25">
      <c r="B51" s="3">
        <v>45927</v>
      </c>
      <c r="C51" s="1" t="s">
        <v>16</v>
      </c>
      <c r="F51" s="6">
        <f t="shared" si="0"/>
        <v>0</v>
      </c>
    </row>
    <row r="52" spans="1:9" x14ac:dyDescent="0.25">
      <c r="A52" t="s">
        <v>13</v>
      </c>
      <c r="B52" s="3">
        <v>45928</v>
      </c>
      <c r="C52" s="1" t="s">
        <v>4</v>
      </c>
      <c r="D52" s="2">
        <v>1158</v>
      </c>
      <c r="F52" s="6">
        <f t="shared" si="0"/>
        <v>1158</v>
      </c>
    </row>
    <row r="53" spans="1:9" x14ac:dyDescent="0.25">
      <c r="F53" s="6">
        <f t="shared" si="0"/>
        <v>0</v>
      </c>
    </row>
    <row r="54" spans="1:9" x14ac:dyDescent="0.25">
      <c r="A54" t="s">
        <v>7</v>
      </c>
      <c r="B54" s="3">
        <v>45929</v>
      </c>
      <c r="C54" s="1" t="s">
        <v>3</v>
      </c>
      <c r="F54" s="6">
        <f t="shared" si="0"/>
        <v>0</v>
      </c>
      <c r="H54" s="7" t="s">
        <v>24</v>
      </c>
      <c r="I54" s="16" t="s">
        <v>49</v>
      </c>
    </row>
    <row r="55" spans="1:9" x14ac:dyDescent="0.25">
      <c r="B55" s="3">
        <v>45929</v>
      </c>
      <c r="C55" s="1" t="s">
        <v>4</v>
      </c>
      <c r="F55" s="6">
        <f t="shared" si="0"/>
        <v>0</v>
      </c>
      <c r="H55" s="8">
        <f>SUM(F54:F73)</f>
        <v>0</v>
      </c>
    </row>
    <row r="56" spans="1:9" x14ac:dyDescent="0.25">
      <c r="A56" t="s">
        <v>8</v>
      </c>
      <c r="B56" s="3">
        <v>45930</v>
      </c>
      <c r="C56" s="1" t="s">
        <v>4</v>
      </c>
      <c r="D56" s="17"/>
      <c r="E56"/>
      <c r="F56" s="6">
        <f t="shared" si="0"/>
        <v>0</v>
      </c>
    </row>
    <row r="57" spans="1:9" x14ac:dyDescent="0.25">
      <c r="A57" t="s">
        <v>9</v>
      </c>
      <c r="D57"/>
      <c r="E57"/>
      <c r="F57" s="6">
        <f t="shared" si="0"/>
        <v>0</v>
      </c>
    </row>
    <row r="58" spans="1:9" x14ac:dyDescent="0.25">
      <c r="A58" t="s">
        <v>21</v>
      </c>
      <c r="D58" s="17"/>
      <c r="E58"/>
      <c r="F58" s="6">
        <f t="shared" si="0"/>
        <v>0</v>
      </c>
    </row>
    <row r="59" spans="1:9" x14ac:dyDescent="0.25">
      <c r="A59" t="s">
        <v>11</v>
      </c>
      <c r="D59"/>
      <c r="E59"/>
      <c r="F59" s="6">
        <f t="shared" si="0"/>
        <v>0</v>
      </c>
    </row>
    <row r="60" spans="1:9" x14ac:dyDescent="0.25">
      <c r="D60" s="17"/>
      <c r="E60"/>
      <c r="F60" s="6">
        <f t="shared" si="0"/>
        <v>0</v>
      </c>
    </row>
    <row r="61" spans="1:9" x14ac:dyDescent="0.25">
      <c r="A61" t="s">
        <v>12</v>
      </c>
      <c r="D61" s="17"/>
      <c r="E61"/>
      <c r="F61" s="6">
        <f t="shared" si="0"/>
        <v>0</v>
      </c>
    </row>
    <row r="62" spans="1:9" x14ac:dyDescent="0.25">
      <c r="D62" s="17"/>
      <c r="E62"/>
      <c r="F62" s="6">
        <f t="shared" si="0"/>
        <v>0</v>
      </c>
    </row>
    <row r="63" spans="1:9" x14ac:dyDescent="0.25">
      <c r="D63"/>
      <c r="E63"/>
      <c r="F63" s="6">
        <f t="shared" si="0"/>
        <v>0</v>
      </c>
    </row>
    <row r="64" spans="1:9" x14ac:dyDescent="0.25">
      <c r="B64"/>
      <c r="C64"/>
      <c r="D64"/>
      <c r="E64"/>
      <c r="F64" s="6">
        <f t="shared" si="0"/>
        <v>0</v>
      </c>
    </row>
    <row r="65" customFormat="1" ht="16" x14ac:dyDescent="0.2"/>
    <row r="66" customFormat="1" ht="16" x14ac:dyDescent="0.2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20EEF-C65E-2642-834A-702E3A27EC6A}">
  <sheetPr>
    <tabColor rgb="FF7030A0"/>
  </sheetPr>
  <dimension ref="A3:L66"/>
  <sheetViews>
    <sheetView workbookViewId="0">
      <selection activeCell="A2" sqref="A2"/>
    </sheetView>
  </sheetViews>
  <sheetFormatPr baseColWidth="10" defaultRowHeight="19" x14ac:dyDescent="0.25"/>
  <cols>
    <col min="2" max="2" width="13.6640625" style="3" customWidth="1"/>
    <col min="3" max="3" width="19.83203125" style="1" customWidth="1"/>
    <col min="4" max="4" width="10.83203125" style="2"/>
    <col min="5" max="6" width="10.83203125" style="1"/>
    <col min="8" max="8" width="13.33203125" customWidth="1"/>
    <col min="10" max="10" width="13.6640625" customWidth="1"/>
  </cols>
  <sheetData>
    <row r="3" spans="1:10" x14ac:dyDescent="0.25">
      <c r="B3" s="3" t="s">
        <v>48</v>
      </c>
      <c r="C3" s="1" t="s">
        <v>1</v>
      </c>
      <c r="D3" s="2" t="s">
        <v>2</v>
      </c>
      <c r="E3" s="2" t="s">
        <v>2</v>
      </c>
      <c r="F3" s="1" t="s">
        <v>26</v>
      </c>
    </row>
    <row r="4" spans="1:10" x14ac:dyDescent="0.25">
      <c r="E4" s="2"/>
    </row>
    <row r="5" spans="1:10" x14ac:dyDescent="0.25">
      <c r="A5" t="s">
        <v>7</v>
      </c>
      <c r="B5" s="3">
        <v>45901</v>
      </c>
      <c r="C5" s="1" t="s">
        <v>4</v>
      </c>
      <c r="F5" s="6">
        <f>D5+E5</f>
        <v>0</v>
      </c>
      <c r="H5" s="7" t="s">
        <v>17</v>
      </c>
      <c r="I5" s="16" t="s">
        <v>53</v>
      </c>
      <c r="J5" s="7" t="s">
        <v>14</v>
      </c>
    </row>
    <row r="6" spans="1:10" x14ac:dyDescent="0.25">
      <c r="B6" s="3">
        <v>45901</v>
      </c>
      <c r="C6" s="1" t="s">
        <v>3</v>
      </c>
      <c r="F6" s="6">
        <f t="shared" ref="F6:F64" si="0">D6+E6</f>
        <v>0</v>
      </c>
      <c r="H6" s="8">
        <f>SUM(F5:F17)</f>
        <v>0</v>
      </c>
      <c r="J6" s="5">
        <f>SUM(F5:F64)</f>
        <v>0</v>
      </c>
    </row>
    <row r="7" spans="1:10" x14ac:dyDescent="0.25">
      <c r="A7" t="s">
        <v>8</v>
      </c>
      <c r="B7" s="3">
        <v>45902</v>
      </c>
      <c r="C7" s="1" t="s">
        <v>57</v>
      </c>
      <c r="F7" s="6">
        <f t="shared" si="0"/>
        <v>0</v>
      </c>
      <c r="H7" s="8"/>
      <c r="J7" s="5"/>
    </row>
    <row r="8" spans="1:10" x14ac:dyDescent="0.25">
      <c r="B8" s="3">
        <v>45902</v>
      </c>
      <c r="C8" s="1" t="s">
        <v>4</v>
      </c>
      <c r="F8" s="6">
        <f t="shared" si="0"/>
        <v>0</v>
      </c>
    </row>
    <row r="9" spans="1:10" x14ac:dyDescent="0.25">
      <c r="A9" t="s">
        <v>9</v>
      </c>
      <c r="B9" s="3">
        <v>45903</v>
      </c>
      <c r="C9" s="1" t="s">
        <v>4</v>
      </c>
      <c r="F9" s="6">
        <f t="shared" si="0"/>
        <v>0</v>
      </c>
    </row>
    <row r="10" spans="1:10" x14ac:dyDescent="0.25">
      <c r="B10" s="3">
        <v>45904</v>
      </c>
      <c r="C10" s="1" t="s">
        <v>58</v>
      </c>
      <c r="F10" s="6">
        <f t="shared" si="0"/>
        <v>0</v>
      </c>
    </row>
    <row r="11" spans="1:10" x14ac:dyDescent="0.25">
      <c r="A11" t="s">
        <v>21</v>
      </c>
      <c r="B11" s="3">
        <v>45904</v>
      </c>
      <c r="C11" s="1" t="s">
        <v>4</v>
      </c>
      <c r="F11" s="6">
        <f t="shared" si="0"/>
        <v>0</v>
      </c>
    </row>
    <row r="12" spans="1:10" x14ac:dyDescent="0.25">
      <c r="B12" s="3">
        <v>45904</v>
      </c>
      <c r="C12" s="1" t="s">
        <v>56</v>
      </c>
      <c r="F12" s="6">
        <f t="shared" si="0"/>
        <v>0</v>
      </c>
    </row>
    <row r="13" spans="1:10" x14ac:dyDescent="0.25">
      <c r="A13" t="s">
        <v>11</v>
      </c>
      <c r="B13" s="3">
        <v>45905</v>
      </c>
      <c r="C13" s="1" t="s">
        <v>4</v>
      </c>
      <c r="F13" s="6">
        <f t="shared" si="0"/>
        <v>0</v>
      </c>
    </row>
    <row r="14" spans="1:10" x14ac:dyDescent="0.25">
      <c r="B14" s="3">
        <v>45905</v>
      </c>
      <c r="C14" s="1" t="s">
        <v>16</v>
      </c>
      <c r="F14" s="6">
        <f t="shared" si="0"/>
        <v>0</v>
      </c>
    </row>
    <row r="15" spans="1:10" x14ac:dyDescent="0.25">
      <c r="A15" t="s">
        <v>12</v>
      </c>
      <c r="B15" s="3">
        <v>45906</v>
      </c>
      <c r="C15" s="1" t="s">
        <v>4</v>
      </c>
      <c r="F15" s="6">
        <f t="shared" si="0"/>
        <v>0</v>
      </c>
    </row>
    <row r="16" spans="1:10" x14ac:dyDescent="0.25">
      <c r="B16" s="3">
        <v>45906</v>
      </c>
      <c r="C16" s="1" t="s">
        <v>16</v>
      </c>
      <c r="F16" s="6">
        <f t="shared" si="0"/>
        <v>0</v>
      </c>
    </row>
    <row r="17" spans="1:12" x14ac:dyDescent="0.25">
      <c r="A17" t="s">
        <v>13</v>
      </c>
      <c r="B17" s="3">
        <v>45907</v>
      </c>
      <c r="C17" s="1" t="s">
        <v>4</v>
      </c>
      <c r="F17" s="6">
        <f t="shared" si="0"/>
        <v>0</v>
      </c>
    </row>
    <row r="18" spans="1:12" x14ac:dyDescent="0.25">
      <c r="F18" s="6"/>
    </row>
    <row r="19" spans="1:12" x14ac:dyDescent="0.25">
      <c r="A19" t="s">
        <v>7</v>
      </c>
      <c r="B19" s="3">
        <v>45908</v>
      </c>
      <c r="C19" s="1" t="s">
        <v>4</v>
      </c>
      <c r="F19" s="6">
        <f t="shared" si="0"/>
        <v>0</v>
      </c>
      <c r="H19" s="7" t="s">
        <v>18</v>
      </c>
      <c r="I19" s="16" t="s">
        <v>52</v>
      </c>
    </row>
    <row r="20" spans="1:12" x14ac:dyDescent="0.25">
      <c r="B20" s="3">
        <v>45908</v>
      </c>
      <c r="C20" s="1" t="s">
        <v>3</v>
      </c>
      <c r="F20" s="6">
        <f t="shared" si="0"/>
        <v>0</v>
      </c>
      <c r="H20" s="8">
        <f>SUM(F19:F29)</f>
        <v>0</v>
      </c>
    </row>
    <row r="21" spans="1:12" x14ac:dyDescent="0.25">
      <c r="A21" t="s">
        <v>8</v>
      </c>
      <c r="B21" s="3">
        <v>45909</v>
      </c>
      <c r="C21" s="1" t="s">
        <v>4</v>
      </c>
      <c r="F21" s="6">
        <f t="shared" si="0"/>
        <v>0</v>
      </c>
    </row>
    <row r="22" spans="1:12" x14ac:dyDescent="0.25">
      <c r="A22" t="s">
        <v>9</v>
      </c>
      <c r="B22" s="3">
        <v>45910</v>
      </c>
      <c r="C22" s="1" t="s">
        <v>4</v>
      </c>
      <c r="F22" s="6">
        <f t="shared" si="0"/>
        <v>0</v>
      </c>
    </row>
    <row r="23" spans="1:12" x14ac:dyDescent="0.25">
      <c r="A23" t="s">
        <v>21</v>
      </c>
      <c r="B23" s="3">
        <v>45911</v>
      </c>
      <c r="C23" s="1" t="s">
        <v>4</v>
      </c>
      <c r="F23" s="6">
        <f>D23+E23</f>
        <v>0</v>
      </c>
      <c r="L23" s="18"/>
    </row>
    <row r="24" spans="1:12" x14ac:dyDescent="0.25">
      <c r="B24" s="3">
        <v>45911</v>
      </c>
      <c r="C24" s="1" t="s">
        <v>16</v>
      </c>
      <c r="F24" s="6">
        <f>D24+E24</f>
        <v>0</v>
      </c>
      <c r="L24" s="18"/>
    </row>
    <row r="25" spans="1:12" x14ac:dyDescent="0.25">
      <c r="A25" t="s">
        <v>11</v>
      </c>
      <c r="B25" s="3">
        <v>45912</v>
      </c>
      <c r="C25" s="1" t="s">
        <v>4</v>
      </c>
      <c r="F25" s="6">
        <f t="shared" si="0"/>
        <v>0</v>
      </c>
      <c r="L25" s="19"/>
    </row>
    <row r="26" spans="1:12" x14ac:dyDescent="0.25">
      <c r="B26" s="3">
        <v>45912</v>
      </c>
      <c r="C26" s="1" t="s">
        <v>16</v>
      </c>
      <c r="F26" s="6">
        <f t="shared" si="0"/>
        <v>0</v>
      </c>
    </row>
    <row r="27" spans="1:12" x14ac:dyDescent="0.25">
      <c r="A27" t="s">
        <v>12</v>
      </c>
      <c r="B27" s="3">
        <v>45913</v>
      </c>
      <c r="C27" s="1" t="s">
        <v>4</v>
      </c>
      <c r="F27" s="6">
        <f t="shared" si="0"/>
        <v>0</v>
      </c>
    </row>
    <row r="28" spans="1:12" x14ac:dyDescent="0.25">
      <c r="B28" s="3">
        <v>45913</v>
      </c>
      <c r="C28" s="1" t="s">
        <v>16</v>
      </c>
      <c r="F28" s="6">
        <f t="shared" si="0"/>
        <v>0</v>
      </c>
    </row>
    <row r="29" spans="1:12" x14ac:dyDescent="0.25">
      <c r="A29" t="s">
        <v>13</v>
      </c>
      <c r="B29" s="3">
        <v>45914</v>
      </c>
      <c r="C29" s="1" t="s">
        <v>4</v>
      </c>
      <c r="F29" s="6">
        <f t="shared" si="0"/>
        <v>0</v>
      </c>
    </row>
    <row r="30" spans="1:12" x14ac:dyDescent="0.25">
      <c r="F30" s="6"/>
    </row>
    <row r="31" spans="1:12" x14ac:dyDescent="0.25">
      <c r="A31" t="s">
        <v>7</v>
      </c>
      <c r="B31" s="3">
        <v>45915</v>
      </c>
      <c r="C31" s="1" t="s">
        <v>3</v>
      </c>
      <c r="F31" s="6">
        <f t="shared" si="0"/>
        <v>0</v>
      </c>
      <c r="H31" s="7" t="s">
        <v>19</v>
      </c>
      <c r="I31" s="16" t="s">
        <v>51</v>
      </c>
    </row>
    <row r="32" spans="1:12" x14ac:dyDescent="0.25">
      <c r="B32" s="3">
        <v>45915</v>
      </c>
      <c r="C32" s="1" t="s">
        <v>4</v>
      </c>
      <c r="F32" s="6">
        <f t="shared" si="0"/>
        <v>0</v>
      </c>
      <c r="H32" s="9">
        <f>SUM(F31:F40)</f>
        <v>0</v>
      </c>
    </row>
    <row r="33" spans="1:9" x14ac:dyDescent="0.25">
      <c r="A33" t="s">
        <v>8</v>
      </c>
      <c r="B33" s="3">
        <v>45916</v>
      </c>
      <c r="C33" s="1" t="s">
        <v>4</v>
      </c>
      <c r="F33" s="6">
        <f t="shared" si="0"/>
        <v>0</v>
      </c>
    </row>
    <row r="34" spans="1:9" x14ac:dyDescent="0.25">
      <c r="A34" t="s">
        <v>9</v>
      </c>
      <c r="B34" s="3">
        <v>45917</v>
      </c>
      <c r="C34" s="1" t="s">
        <v>4</v>
      </c>
      <c r="F34" s="6">
        <f t="shared" si="0"/>
        <v>0</v>
      </c>
    </row>
    <row r="35" spans="1:9" x14ac:dyDescent="0.25">
      <c r="A35" t="s">
        <v>21</v>
      </c>
      <c r="B35" s="3">
        <v>45918</v>
      </c>
      <c r="C35" s="1" t="s">
        <v>4</v>
      </c>
      <c r="F35" s="6">
        <f t="shared" si="0"/>
        <v>0</v>
      </c>
    </row>
    <row r="36" spans="1:9" x14ac:dyDescent="0.25">
      <c r="A36" t="s">
        <v>11</v>
      </c>
      <c r="B36" s="3">
        <v>45919</v>
      </c>
      <c r="C36" s="1" t="s">
        <v>4</v>
      </c>
      <c r="F36" s="6">
        <f t="shared" si="0"/>
        <v>0</v>
      </c>
    </row>
    <row r="37" spans="1:9" x14ac:dyDescent="0.25">
      <c r="B37" s="3">
        <v>45919</v>
      </c>
      <c r="C37" s="1" t="s">
        <v>16</v>
      </c>
      <c r="F37" s="6">
        <f t="shared" si="0"/>
        <v>0</v>
      </c>
    </row>
    <row r="38" spans="1:9" x14ac:dyDescent="0.25">
      <c r="A38" t="s">
        <v>12</v>
      </c>
      <c r="B38" s="3">
        <v>45920</v>
      </c>
      <c r="C38" s="1" t="s">
        <v>16</v>
      </c>
      <c r="F38" s="6">
        <f t="shared" si="0"/>
        <v>0</v>
      </c>
    </row>
    <row r="39" spans="1:9" x14ac:dyDescent="0.25">
      <c r="B39" s="3">
        <v>45920</v>
      </c>
      <c r="C39" s="1" t="s">
        <v>4</v>
      </c>
      <c r="F39" s="6">
        <f t="shared" si="0"/>
        <v>0</v>
      </c>
    </row>
    <row r="40" spans="1:9" x14ac:dyDescent="0.25">
      <c r="A40" t="s">
        <v>13</v>
      </c>
      <c r="B40" s="3">
        <v>45921</v>
      </c>
      <c r="C40" s="1" t="s">
        <v>4</v>
      </c>
      <c r="F40" s="6">
        <f t="shared" si="0"/>
        <v>0</v>
      </c>
    </row>
    <row r="41" spans="1:9" x14ac:dyDescent="0.25">
      <c r="F41" s="6"/>
    </row>
    <row r="42" spans="1:9" x14ac:dyDescent="0.25">
      <c r="A42" t="s">
        <v>7</v>
      </c>
      <c r="B42" s="3">
        <v>45922</v>
      </c>
      <c r="C42" s="1" t="s">
        <v>3</v>
      </c>
      <c r="F42" s="6">
        <f t="shared" si="0"/>
        <v>0</v>
      </c>
      <c r="H42" s="7" t="s">
        <v>23</v>
      </c>
      <c r="I42" s="16" t="s">
        <v>50</v>
      </c>
    </row>
    <row r="43" spans="1:9" x14ac:dyDescent="0.25">
      <c r="B43" s="3">
        <v>45922</v>
      </c>
      <c r="C43" s="1" t="s">
        <v>4</v>
      </c>
      <c r="F43" s="6">
        <f t="shared" si="0"/>
        <v>0</v>
      </c>
      <c r="H43" s="8">
        <f>SUM(F42:F52)</f>
        <v>0</v>
      </c>
    </row>
    <row r="44" spans="1:9" x14ac:dyDescent="0.25">
      <c r="A44" t="s">
        <v>8</v>
      </c>
      <c r="B44" s="3">
        <v>45923</v>
      </c>
      <c r="C44" s="1" t="s">
        <v>4</v>
      </c>
      <c r="F44" s="6">
        <f t="shared" si="0"/>
        <v>0</v>
      </c>
    </row>
    <row r="45" spans="1:9" x14ac:dyDescent="0.25">
      <c r="A45" t="s">
        <v>9</v>
      </c>
      <c r="B45" s="3">
        <v>45924</v>
      </c>
      <c r="C45" s="1" t="s">
        <v>4</v>
      </c>
      <c r="F45" s="6">
        <f t="shared" si="0"/>
        <v>0</v>
      </c>
    </row>
    <row r="46" spans="1:9" x14ac:dyDescent="0.25">
      <c r="A46" t="s">
        <v>21</v>
      </c>
      <c r="B46" s="3">
        <v>45925</v>
      </c>
      <c r="C46" s="1" t="s">
        <v>4</v>
      </c>
      <c r="F46" s="6">
        <f t="shared" si="0"/>
        <v>0</v>
      </c>
    </row>
    <row r="47" spans="1:9" x14ac:dyDescent="0.25">
      <c r="B47" s="3">
        <v>45925</v>
      </c>
      <c r="C47" s="1" t="s">
        <v>55</v>
      </c>
      <c r="F47" s="6">
        <f>D47+E47</f>
        <v>0</v>
      </c>
    </row>
    <row r="48" spans="1:9" x14ac:dyDescent="0.25">
      <c r="A48" t="s">
        <v>11</v>
      </c>
      <c r="B48" s="3">
        <v>45926</v>
      </c>
      <c r="C48" s="1" t="s">
        <v>4</v>
      </c>
      <c r="F48" s="6">
        <f t="shared" si="0"/>
        <v>0</v>
      </c>
    </row>
    <row r="49" spans="1:9" x14ac:dyDescent="0.25">
      <c r="B49" s="3">
        <v>45926</v>
      </c>
      <c r="C49" s="1" t="s">
        <v>16</v>
      </c>
      <c r="F49" s="6">
        <f t="shared" si="0"/>
        <v>0</v>
      </c>
    </row>
    <row r="50" spans="1:9" x14ac:dyDescent="0.25">
      <c r="A50" t="s">
        <v>12</v>
      </c>
      <c r="B50" s="3">
        <v>45927</v>
      </c>
      <c r="C50" s="1" t="s">
        <v>4</v>
      </c>
      <c r="F50" s="6">
        <f t="shared" si="0"/>
        <v>0</v>
      </c>
    </row>
    <row r="51" spans="1:9" x14ac:dyDescent="0.25">
      <c r="B51" s="3">
        <v>45927</v>
      </c>
      <c r="C51" s="1" t="s">
        <v>16</v>
      </c>
      <c r="F51" s="6">
        <f t="shared" si="0"/>
        <v>0</v>
      </c>
    </row>
    <row r="52" spans="1:9" x14ac:dyDescent="0.25">
      <c r="A52" t="s">
        <v>13</v>
      </c>
      <c r="B52" s="3">
        <v>45928</v>
      </c>
      <c r="C52" s="1" t="s">
        <v>4</v>
      </c>
      <c r="F52" s="6">
        <f t="shared" si="0"/>
        <v>0</v>
      </c>
    </row>
    <row r="53" spans="1:9" x14ac:dyDescent="0.25">
      <c r="F53" s="6">
        <f t="shared" si="0"/>
        <v>0</v>
      </c>
    </row>
    <row r="54" spans="1:9" x14ac:dyDescent="0.25">
      <c r="A54" t="s">
        <v>7</v>
      </c>
      <c r="B54" s="3">
        <v>45929</v>
      </c>
      <c r="C54" s="1" t="s">
        <v>3</v>
      </c>
      <c r="F54" s="6">
        <f t="shared" si="0"/>
        <v>0</v>
      </c>
      <c r="H54" s="7" t="s">
        <v>24</v>
      </c>
      <c r="I54" s="16" t="s">
        <v>49</v>
      </c>
    </row>
    <row r="55" spans="1:9" x14ac:dyDescent="0.25">
      <c r="B55" s="3">
        <v>45929</v>
      </c>
      <c r="C55" s="1" t="s">
        <v>4</v>
      </c>
      <c r="F55" s="6">
        <f t="shared" si="0"/>
        <v>0</v>
      </c>
      <c r="H55" s="8">
        <f>SUM(F54:F73)</f>
        <v>0</v>
      </c>
    </row>
    <row r="56" spans="1:9" x14ac:dyDescent="0.25">
      <c r="A56" t="s">
        <v>8</v>
      </c>
      <c r="B56" s="3">
        <v>45930</v>
      </c>
      <c r="C56" s="1" t="s">
        <v>4</v>
      </c>
      <c r="D56" s="17"/>
      <c r="E56"/>
      <c r="F56" s="6">
        <f t="shared" si="0"/>
        <v>0</v>
      </c>
    </row>
    <row r="57" spans="1:9" x14ac:dyDescent="0.25">
      <c r="A57" t="s">
        <v>9</v>
      </c>
      <c r="D57"/>
      <c r="E57"/>
      <c r="F57" s="6">
        <f t="shared" si="0"/>
        <v>0</v>
      </c>
    </row>
    <row r="58" spans="1:9" x14ac:dyDescent="0.25">
      <c r="A58" t="s">
        <v>21</v>
      </c>
      <c r="D58" s="17"/>
      <c r="E58"/>
      <c r="F58" s="6">
        <f t="shared" si="0"/>
        <v>0</v>
      </c>
    </row>
    <row r="59" spans="1:9" x14ac:dyDescent="0.25">
      <c r="A59" t="s">
        <v>11</v>
      </c>
      <c r="D59"/>
      <c r="E59"/>
      <c r="F59" s="6">
        <f t="shared" si="0"/>
        <v>0</v>
      </c>
    </row>
    <row r="60" spans="1:9" x14ac:dyDescent="0.25">
      <c r="D60" s="17"/>
      <c r="E60"/>
      <c r="F60" s="6">
        <f t="shared" si="0"/>
        <v>0</v>
      </c>
    </row>
    <row r="61" spans="1:9" x14ac:dyDescent="0.25">
      <c r="A61" t="s">
        <v>12</v>
      </c>
      <c r="D61" s="17"/>
      <c r="E61"/>
      <c r="F61" s="6">
        <f t="shared" si="0"/>
        <v>0</v>
      </c>
    </row>
    <row r="62" spans="1:9" x14ac:dyDescent="0.25">
      <c r="D62" s="17"/>
      <c r="E62"/>
      <c r="F62" s="6">
        <f t="shared" si="0"/>
        <v>0</v>
      </c>
    </row>
    <row r="63" spans="1:9" x14ac:dyDescent="0.25">
      <c r="D63"/>
      <c r="E63"/>
      <c r="F63" s="6">
        <f t="shared" si="0"/>
        <v>0</v>
      </c>
    </row>
    <row r="64" spans="1:9" x14ac:dyDescent="0.25">
      <c r="B64"/>
      <c r="C64"/>
      <c r="D64"/>
      <c r="E64"/>
      <c r="F64" s="6">
        <f t="shared" si="0"/>
        <v>0</v>
      </c>
    </row>
    <row r="65" customFormat="1" ht="16" x14ac:dyDescent="0.2"/>
    <row r="66" customFormat="1" ht="16" x14ac:dyDescent="0.2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C5AF9-4A68-6E44-A48D-F48AA9AB84D7}">
  <sheetPr>
    <tabColor rgb="FF00B0F0"/>
  </sheetPr>
  <dimension ref="A3:L73"/>
  <sheetViews>
    <sheetView tabSelected="1" topLeftCell="A33" workbookViewId="0">
      <selection activeCell="D45" sqref="D45"/>
    </sheetView>
  </sheetViews>
  <sheetFormatPr baseColWidth="10" defaultRowHeight="19" x14ac:dyDescent="0.25"/>
  <cols>
    <col min="2" max="2" width="13.6640625" style="3" customWidth="1"/>
    <col min="3" max="3" width="19.83203125" style="1" customWidth="1"/>
    <col min="4" max="4" width="10.83203125" style="2"/>
    <col min="5" max="6" width="10.83203125" style="1"/>
    <col min="8" max="8" width="13.33203125" customWidth="1"/>
    <col min="10" max="10" width="13.6640625" customWidth="1"/>
  </cols>
  <sheetData>
    <row r="3" spans="1:10" x14ac:dyDescent="0.25">
      <c r="B3" s="3" t="s">
        <v>48</v>
      </c>
      <c r="C3" s="1" t="s">
        <v>1</v>
      </c>
      <c r="D3" s="2" t="s">
        <v>2</v>
      </c>
      <c r="E3" s="2" t="s">
        <v>2</v>
      </c>
      <c r="F3" s="1" t="s">
        <v>26</v>
      </c>
    </row>
    <row r="4" spans="1:10" x14ac:dyDescent="0.25">
      <c r="E4" s="2"/>
    </row>
    <row r="5" spans="1:10" x14ac:dyDescent="0.25">
      <c r="A5" t="s">
        <v>12</v>
      </c>
      <c r="B5" s="3">
        <v>45962</v>
      </c>
      <c r="C5" s="1" t="s">
        <v>4</v>
      </c>
      <c r="D5" s="2">
        <v>1587</v>
      </c>
      <c r="F5" s="6">
        <f>D5+E5</f>
        <v>1587</v>
      </c>
      <c r="H5" s="7" t="s">
        <v>17</v>
      </c>
      <c r="I5" s="16" t="s">
        <v>53</v>
      </c>
      <c r="J5" s="7" t="s">
        <v>14</v>
      </c>
    </row>
    <row r="6" spans="1:10" x14ac:dyDescent="0.25">
      <c r="B6" s="3">
        <v>45962</v>
      </c>
      <c r="C6" s="1" t="s">
        <v>59</v>
      </c>
      <c r="D6" s="2">
        <v>14791</v>
      </c>
      <c r="F6" s="6">
        <f t="shared" ref="F6:F71" si="0">D6+E6</f>
        <v>14791</v>
      </c>
      <c r="H6" s="8">
        <f>SUM(F5:F22)</f>
        <v>81987</v>
      </c>
      <c r="J6" s="5">
        <f>SUM(F5:F71)</f>
        <v>122796</v>
      </c>
    </row>
    <row r="7" spans="1:10" x14ac:dyDescent="0.25">
      <c r="A7" t="s">
        <v>13</v>
      </c>
      <c r="B7" s="3">
        <v>45963</v>
      </c>
      <c r="C7" s="1" t="s">
        <v>60</v>
      </c>
      <c r="D7" s="2">
        <v>12000</v>
      </c>
      <c r="F7" s="6">
        <f t="shared" si="0"/>
        <v>12000</v>
      </c>
      <c r="H7" s="8"/>
      <c r="J7" s="5"/>
    </row>
    <row r="8" spans="1:10" x14ac:dyDescent="0.25">
      <c r="B8" s="3">
        <v>45963</v>
      </c>
      <c r="C8" s="1" t="s">
        <v>4</v>
      </c>
      <c r="D8" s="2">
        <v>2382</v>
      </c>
      <c r="F8" s="6">
        <f t="shared" si="0"/>
        <v>2382</v>
      </c>
    </row>
    <row r="9" spans="1:10" x14ac:dyDescent="0.25">
      <c r="A9" t="s">
        <v>7</v>
      </c>
      <c r="B9" s="3">
        <v>45964</v>
      </c>
      <c r="C9" s="1" t="s">
        <v>4</v>
      </c>
      <c r="D9" s="2">
        <v>2605</v>
      </c>
      <c r="F9" s="6">
        <f t="shared" si="0"/>
        <v>2605</v>
      </c>
    </row>
    <row r="10" spans="1:10" x14ac:dyDescent="0.25">
      <c r="B10" s="3">
        <v>45964</v>
      </c>
      <c r="C10" s="1" t="s">
        <v>61</v>
      </c>
      <c r="D10" s="2">
        <v>3561</v>
      </c>
      <c r="F10" s="6">
        <f t="shared" si="0"/>
        <v>3561</v>
      </c>
    </row>
    <row r="11" spans="1:10" x14ac:dyDescent="0.25">
      <c r="A11" t="s">
        <v>8</v>
      </c>
      <c r="B11" s="3">
        <v>45965</v>
      </c>
      <c r="C11" s="1" t="s">
        <v>4</v>
      </c>
      <c r="D11" s="2">
        <v>1440</v>
      </c>
      <c r="F11" s="6">
        <f t="shared" si="0"/>
        <v>1440</v>
      </c>
    </row>
    <row r="12" spans="1:10" x14ac:dyDescent="0.25">
      <c r="B12" s="3">
        <v>45965</v>
      </c>
      <c r="C12" s="1" t="s">
        <v>61</v>
      </c>
      <c r="D12" s="2">
        <v>6043</v>
      </c>
      <c r="F12" s="6">
        <f t="shared" si="0"/>
        <v>6043</v>
      </c>
    </row>
    <row r="13" spans="1:10" x14ac:dyDescent="0.25">
      <c r="A13" t="s">
        <v>9</v>
      </c>
      <c r="B13" s="3">
        <v>45966</v>
      </c>
      <c r="C13" s="1" t="s">
        <v>4</v>
      </c>
      <c r="D13" s="2">
        <v>1963</v>
      </c>
      <c r="F13" s="6">
        <f t="shared" si="0"/>
        <v>1963</v>
      </c>
    </row>
    <row r="14" spans="1:10" x14ac:dyDescent="0.25">
      <c r="B14" s="3">
        <v>45966</v>
      </c>
      <c r="C14" s="1" t="s">
        <v>60</v>
      </c>
      <c r="D14" s="2">
        <v>6000</v>
      </c>
      <c r="F14" s="6">
        <f t="shared" si="0"/>
        <v>6000</v>
      </c>
    </row>
    <row r="15" spans="1:10" x14ac:dyDescent="0.25">
      <c r="B15" s="3">
        <v>45966</v>
      </c>
      <c r="C15" s="1" t="s">
        <v>61</v>
      </c>
      <c r="D15" s="2">
        <v>10068</v>
      </c>
      <c r="F15" s="6">
        <f t="shared" si="0"/>
        <v>10068</v>
      </c>
    </row>
    <row r="16" spans="1:10" x14ac:dyDescent="0.25">
      <c r="A16" t="s">
        <v>21</v>
      </c>
      <c r="B16" s="3">
        <v>45967</v>
      </c>
      <c r="C16" s="1" t="s">
        <v>4</v>
      </c>
      <c r="D16" s="2">
        <v>2148</v>
      </c>
      <c r="F16" s="6">
        <f t="shared" si="0"/>
        <v>2148</v>
      </c>
    </row>
    <row r="17" spans="1:12" x14ac:dyDescent="0.25">
      <c r="B17" s="3">
        <v>45967</v>
      </c>
      <c r="C17" s="1" t="s">
        <v>62</v>
      </c>
      <c r="D17" s="2">
        <v>4080</v>
      </c>
      <c r="F17" s="6">
        <f t="shared" si="0"/>
        <v>4080</v>
      </c>
    </row>
    <row r="18" spans="1:12" x14ac:dyDescent="0.25">
      <c r="A18" t="s">
        <v>11</v>
      </c>
      <c r="B18" s="3">
        <v>45968</v>
      </c>
      <c r="C18" s="1" t="s">
        <v>4</v>
      </c>
      <c r="D18" s="2">
        <v>3542</v>
      </c>
      <c r="F18" s="6">
        <f t="shared" si="0"/>
        <v>3542</v>
      </c>
    </row>
    <row r="19" spans="1:12" x14ac:dyDescent="0.25">
      <c r="B19" s="3">
        <v>45968</v>
      </c>
      <c r="C19" s="1" t="s">
        <v>16</v>
      </c>
      <c r="D19" s="2">
        <v>1243</v>
      </c>
      <c r="F19" s="6">
        <f t="shared" si="0"/>
        <v>1243</v>
      </c>
    </row>
    <row r="20" spans="1:12" x14ac:dyDescent="0.25">
      <c r="B20" s="3">
        <v>45968</v>
      </c>
      <c r="C20" s="1" t="s">
        <v>62</v>
      </c>
      <c r="D20" s="2">
        <v>4285</v>
      </c>
      <c r="F20" s="6">
        <f t="shared" si="0"/>
        <v>4285</v>
      </c>
    </row>
    <row r="21" spans="1:12" x14ac:dyDescent="0.25">
      <c r="B21" s="3">
        <v>45969</v>
      </c>
      <c r="C21" s="1" t="s">
        <v>4</v>
      </c>
      <c r="D21" s="2">
        <v>1688</v>
      </c>
      <c r="F21" s="6">
        <f t="shared" si="0"/>
        <v>1688</v>
      </c>
    </row>
    <row r="22" spans="1:12" x14ac:dyDescent="0.25">
      <c r="B22" s="3">
        <v>45970</v>
      </c>
      <c r="C22" s="1" t="s">
        <v>4</v>
      </c>
      <c r="D22" s="2">
        <v>2561</v>
      </c>
      <c r="F22" s="6">
        <f t="shared" si="0"/>
        <v>2561</v>
      </c>
    </row>
    <row r="23" spans="1:12" x14ac:dyDescent="0.25">
      <c r="F23" s="6"/>
    </row>
    <row r="24" spans="1:12" x14ac:dyDescent="0.25">
      <c r="A24" t="s">
        <v>7</v>
      </c>
      <c r="B24" s="3">
        <v>45971</v>
      </c>
      <c r="C24" s="1" t="s">
        <v>4</v>
      </c>
      <c r="D24" s="2">
        <v>1408</v>
      </c>
      <c r="F24" s="6">
        <f t="shared" si="0"/>
        <v>1408</v>
      </c>
      <c r="H24" s="7" t="s">
        <v>18</v>
      </c>
      <c r="I24" s="16" t="s">
        <v>52</v>
      </c>
    </row>
    <row r="25" spans="1:12" x14ac:dyDescent="0.25">
      <c r="B25" s="3">
        <v>45971</v>
      </c>
      <c r="C25" s="1" t="s">
        <v>3</v>
      </c>
      <c r="F25" s="6">
        <f t="shared" si="0"/>
        <v>0</v>
      </c>
      <c r="H25" s="8">
        <f>SUM(F24:F35)</f>
        <v>25671</v>
      </c>
    </row>
    <row r="26" spans="1:12" x14ac:dyDescent="0.25">
      <c r="A26" t="s">
        <v>8</v>
      </c>
      <c r="B26" s="3">
        <v>45972</v>
      </c>
      <c r="C26" s="1" t="s">
        <v>4</v>
      </c>
      <c r="D26" s="2">
        <v>1984</v>
      </c>
      <c r="F26" s="6">
        <f t="shared" si="0"/>
        <v>1984</v>
      </c>
    </row>
    <row r="27" spans="1:12" x14ac:dyDescent="0.25">
      <c r="A27" t="s">
        <v>9</v>
      </c>
      <c r="B27" s="3">
        <v>45973</v>
      </c>
      <c r="C27" s="1" t="s">
        <v>4</v>
      </c>
      <c r="D27" s="2">
        <v>3816</v>
      </c>
      <c r="F27" s="6">
        <f t="shared" si="0"/>
        <v>3816</v>
      </c>
    </row>
    <row r="28" spans="1:12" x14ac:dyDescent="0.25">
      <c r="A28" t="s">
        <v>21</v>
      </c>
      <c r="B28" s="3">
        <v>45974</v>
      </c>
      <c r="C28" s="1" t="s">
        <v>4</v>
      </c>
      <c r="F28" s="6">
        <f>D28+E28</f>
        <v>0</v>
      </c>
      <c r="L28" s="18"/>
    </row>
    <row r="29" spans="1:12" x14ac:dyDescent="0.25">
      <c r="B29" s="3">
        <v>45974</v>
      </c>
      <c r="C29" s="1" t="s">
        <v>16</v>
      </c>
      <c r="D29" s="2">
        <v>1694</v>
      </c>
      <c r="F29" s="6">
        <f>D29+E29</f>
        <v>1694</v>
      </c>
      <c r="L29" s="18"/>
    </row>
    <row r="30" spans="1:12" x14ac:dyDescent="0.25">
      <c r="A30" t="s">
        <v>11</v>
      </c>
      <c r="B30" s="3">
        <v>45975</v>
      </c>
      <c r="C30" s="1" t="s">
        <v>4</v>
      </c>
      <c r="D30" s="2">
        <v>2297</v>
      </c>
      <c r="F30" s="6">
        <f t="shared" si="0"/>
        <v>2297</v>
      </c>
      <c r="L30" s="19"/>
    </row>
    <row r="31" spans="1:12" x14ac:dyDescent="0.25">
      <c r="B31" s="3">
        <v>45975</v>
      </c>
      <c r="C31" s="1" t="s">
        <v>16</v>
      </c>
      <c r="D31" s="2">
        <v>2162</v>
      </c>
      <c r="F31" s="6">
        <f t="shared" si="0"/>
        <v>2162</v>
      </c>
    </row>
    <row r="32" spans="1:12" x14ac:dyDescent="0.25">
      <c r="A32" t="s">
        <v>12</v>
      </c>
      <c r="B32" s="3">
        <v>45976</v>
      </c>
      <c r="C32" s="1" t="s">
        <v>4</v>
      </c>
      <c r="D32" s="2">
        <v>2083</v>
      </c>
      <c r="F32" s="6">
        <f t="shared" si="0"/>
        <v>2083</v>
      </c>
    </row>
    <row r="33" spans="1:9" x14ac:dyDescent="0.25">
      <c r="B33" s="3">
        <v>45976</v>
      </c>
      <c r="C33" s="1" t="s">
        <v>35</v>
      </c>
      <c r="D33" s="2">
        <v>3506</v>
      </c>
      <c r="F33" s="6">
        <f t="shared" si="0"/>
        <v>3506</v>
      </c>
    </row>
    <row r="34" spans="1:9" x14ac:dyDescent="0.25">
      <c r="B34" s="3">
        <v>45977</v>
      </c>
      <c r="C34" s="1" t="s">
        <v>35</v>
      </c>
      <c r="D34" s="2">
        <v>3704</v>
      </c>
      <c r="F34" s="6">
        <f t="shared" si="0"/>
        <v>3704</v>
      </c>
    </row>
    <row r="35" spans="1:9" x14ac:dyDescent="0.25">
      <c r="A35" t="s">
        <v>13</v>
      </c>
      <c r="B35" s="3">
        <v>45977</v>
      </c>
      <c r="C35" s="1" t="s">
        <v>4</v>
      </c>
      <c r="D35" s="2">
        <v>3017</v>
      </c>
      <c r="F35" s="6">
        <f t="shared" si="0"/>
        <v>3017</v>
      </c>
    </row>
    <row r="36" spans="1:9" x14ac:dyDescent="0.25">
      <c r="F36" s="6"/>
    </row>
    <row r="37" spans="1:9" x14ac:dyDescent="0.25">
      <c r="A37" t="s">
        <v>7</v>
      </c>
      <c r="B37" s="3">
        <v>45978</v>
      </c>
      <c r="C37" s="1" t="s">
        <v>4</v>
      </c>
      <c r="D37" s="2">
        <v>1452</v>
      </c>
      <c r="F37" s="6">
        <f t="shared" si="0"/>
        <v>1452</v>
      </c>
      <c r="H37" s="7" t="s">
        <v>19</v>
      </c>
      <c r="I37" s="16" t="s">
        <v>51</v>
      </c>
    </row>
    <row r="38" spans="1:9" x14ac:dyDescent="0.25">
      <c r="B38" s="3">
        <v>45978</v>
      </c>
      <c r="C38" s="1" t="s">
        <v>4</v>
      </c>
      <c r="F38" s="6">
        <f t="shared" si="0"/>
        <v>0</v>
      </c>
      <c r="H38" s="9">
        <f>SUM(F37:F47)</f>
        <v>15138</v>
      </c>
    </row>
    <row r="39" spans="1:9" x14ac:dyDescent="0.25">
      <c r="A39" t="s">
        <v>8</v>
      </c>
      <c r="B39" s="3">
        <v>45979</v>
      </c>
      <c r="C39" s="1" t="s">
        <v>4</v>
      </c>
      <c r="D39" s="2">
        <v>1796</v>
      </c>
      <c r="F39" s="6">
        <f t="shared" si="0"/>
        <v>1796</v>
      </c>
    </row>
    <row r="40" spans="1:9" x14ac:dyDescent="0.25">
      <c r="A40" t="s">
        <v>9</v>
      </c>
      <c r="B40" s="3">
        <v>45980</v>
      </c>
      <c r="C40" s="1" t="s">
        <v>4</v>
      </c>
      <c r="D40" s="2">
        <v>1175</v>
      </c>
      <c r="F40" s="6">
        <f t="shared" si="0"/>
        <v>1175</v>
      </c>
    </row>
    <row r="41" spans="1:9" x14ac:dyDescent="0.25">
      <c r="A41" t="s">
        <v>21</v>
      </c>
      <c r="B41" s="3">
        <v>45981</v>
      </c>
      <c r="C41" s="1" t="s">
        <v>4</v>
      </c>
      <c r="D41" s="2">
        <v>2194</v>
      </c>
      <c r="F41" s="6">
        <f t="shared" si="0"/>
        <v>2194</v>
      </c>
    </row>
    <row r="42" spans="1:9" x14ac:dyDescent="0.25">
      <c r="B42" s="3">
        <v>45981</v>
      </c>
      <c r="C42" s="1" t="s">
        <v>62</v>
      </c>
      <c r="D42" s="2">
        <v>5382</v>
      </c>
      <c r="F42" s="6">
        <f t="shared" si="0"/>
        <v>5382</v>
      </c>
    </row>
    <row r="43" spans="1:9" x14ac:dyDescent="0.25">
      <c r="A43" t="s">
        <v>11</v>
      </c>
      <c r="B43" s="3">
        <v>45982</v>
      </c>
      <c r="C43" s="1" t="s">
        <v>4</v>
      </c>
      <c r="D43" s="2">
        <v>1388</v>
      </c>
      <c r="F43" s="6">
        <f t="shared" si="0"/>
        <v>1388</v>
      </c>
    </row>
    <row r="44" spans="1:9" x14ac:dyDescent="0.25">
      <c r="B44" s="3">
        <v>45982</v>
      </c>
      <c r="C44" s="1" t="s">
        <v>16</v>
      </c>
      <c r="D44" s="2">
        <v>1751</v>
      </c>
      <c r="F44" s="6">
        <f t="shared" si="0"/>
        <v>1751</v>
      </c>
    </row>
    <row r="45" spans="1:9" x14ac:dyDescent="0.25">
      <c r="A45" t="s">
        <v>12</v>
      </c>
      <c r="B45" s="3">
        <v>45920</v>
      </c>
      <c r="C45" s="1" t="s">
        <v>16</v>
      </c>
      <c r="F45" s="6">
        <f t="shared" si="0"/>
        <v>0</v>
      </c>
    </row>
    <row r="46" spans="1:9" x14ac:dyDescent="0.25">
      <c r="B46" s="3">
        <v>45920</v>
      </c>
      <c r="C46" s="1" t="s">
        <v>4</v>
      </c>
      <c r="F46" s="6">
        <f t="shared" si="0"/>
        <v>0</v>
      </c>
    </row>
    <row r="47" spans="1:9" x14ac:dyDescent="0.25">
      <c r="A47" t="s">
        <v>13</v>
      </c>
      <c r="B47" s="3">
        <v>45921</v>
      </c>
      <c r="C47" s="1" t="s">
        <v>4</v>
      </c>
      <c r="F47" s="6">
        <f t="shared" si="0"/>
        <v>0</v>
      </c>
    </row>
    <row r="48" spans="1:9" x14ac:dyDescent="0.25">
      <c r="F48" s="6"/>
    </row>
    <row r="49" spans="1:9" x14ac:dyDescent="0.25">
      <c r="A49" t="s">
        <v>7</v>
      </c>
      <c r="B49" s="3">
        <v>45922</v>
      </c>
      <c r="C49" s="1" t="s">
        <v>3</v>
      </c>
      <c r="F49" s="6">
        <f t="shared" si="0"/>
        <v>0</v>
      </c>
      <c r="H49" s="7" t="s">
        <v>23</v>
      </c>
      <c r="I49" s="16" t="s">
        <v>50</v>
      </c>
    </row>
    <row r="50" spans="1:9" x14ac:dyDescent="0.25">
      <c r="B50" s="3">
        <v>45922</v>
      </c>
      <c r="C50" s="1" t="s">
        <v>4</v>
      </c>
      <c r="F50" s="6">
        <f t="shared" si="0"/>
        <v>0</v>
      </c>
      <c r="H50" s="8">
        <f>SUM(F49:F59)</f>
        <v>0</v>
      </c>
    </row>
    <row r="51" spans="1:9" x14ac:dyDescent="0.25">
      <c r="A51" t="s">
        <v>8</v>
      </c>
      <c r="B51" s="3">
        <v>45923</v>
      </c>
      <c r="C51" s="1" t="s">
        <v>4</v>
      </c>
      <c r="F51" s="6">
        <f t="shared" si="0"/>
        <v>0</v>
      </c>
    </row>
    <row r="52" spans="1:9" x14ac:dyDescent="0.25">
      <c r="A52" t="s">
        <v>9</v>
      </c>
      <c r="B52" s="3">
        <v>45924</v>
      </c>
      <c r="C52" s="1" t="s">
        <v>4</v>
      </c>
      <c r="F52" s="6">
        <f t="shared" si="0"/>
        <v>0</v>
      </c>
    </row>
    <row r="53" spans="1:9" x14ac:dyDescent="0.25">
      <c r="A53" t="s">
        <v>21</v>
      </c>
      <c r="B53" s="3">
        <v>45925</v>
      </c>
      <c r="C53" s="1" t="s">
        <v>4</v>
      </c>
      <c r="F53" s="6">
        <f t="shared" si="0"/>
        <v>0</v>
      </c>
    </row>
    <row r="54" spans="1:9" x14ac:dyDescent="0.25">
      <c r="B54" s="3">
        <v>45925</v>
      </c>
      <c r="C54" s="1" t="s">
        <v>55</v>
      </c>
      <c r="F54" s="6">
        <f>D54+E54</f>
        <v>0</v>
      </c>
    </row>
    <row r="55" spans="1:9" x14ac:dyDescent="0.25">
      <c r="A55" t="s">
        <v>11</v>
      </c>
      <c r="B55" s="3">
        <v>45926</v>
      </c>
      <c r="C55" s="1" t="s">
        <v>4</v>
      </c>
      <c r="F55" s="6">
        <f t="shared" si="0"/>
        <v>0</v>
      </c>
    </row>
    <row r="56" spans="1:9" x14ac:dyDescent="0.25">
      <c r="B56" s="3">
        <v>45926</v>
      </c>
      <c r="C56" s="1" t="s">
        <v>16</v>
      </c>
      <c r="F56" s="6">
        <f t="shared" si="0"/>
        <v>0</v>
      </c>
    </row>
    <row r="57" spans="1:9" x14ac:dyDescent="0.25">
      <c r="A57" t="s">
        <v>12</v>
      </c>
      <c r="B57" s="3">
        <v>45927</v>
      </c>
      <c r="C57" s="1" t="s">
        <v>4</v>
      </c>
      <c r="F57" s="6">
        <f t="shared" si="0"/>
        <v>0</v>
      </c>
    </row>
    <row r="58" spans="1:9" x14ac:dyDescent="0.25">
      <c r="B58" s="3">
        <v>45927</v>
      </c>
      <c r="C58" s="1" t="s">
        <v>16</v>
      </c>
      <c r="F58" s="6">
        <f t="shared" si="0"/>
        <v>0</v>
      </c>
    </row>
    <row r="59" spans="1:9" x14ac:dyDescent="0.25">
      <c r="A59" t="s">
        <v>13</v>
      </c>
      <c r="B59" s="3">
        <v>45928</v>
      </c>
      <c r="C59" s="1" t="s">
        <v>4</v>
      </c>
      <c r="F59" s="6">
        <f t="shared" si="0"/>
        <v>0</v>
      </c>
    </row>
    <row r="60" spans="1:9" x14ac:dyDescent="0.25">
      <c r="F60" s="6">
        <f t="shared" si="0"/>
        <v>0</v>
      </c>
    </row>
    <row r="61" spans="1:9" x14ac:dyDescent="0.25">
      <c r="A61" t="s">
        <v>7</v>
      </c>
      <c r="B61" s="3">
        <v>45929</v>
      </c>
      <c r="C61" s="1" t="s">
        <v>3</v>
      </c>
      <c r="F61" s="6">
        <f t="shared" si="0"/>
        <v>0</v>
      </c>
      <c r="H61" s="7" t="s">
        <v>24</v>
      </c>
      <c r="I61" s="16" t="s">
        <v>49</v>
      </c>
    </row>
    <row r="62" spans="1:9" x14ac:dyDescent="0.25">
      <c r="B62" s="3">
        <v>45929</v>
      </c>
      <c r="C62" s="1" t="s">
        <v>4</v>
      </c>
      <c r="F62" s="6">
        <f t="shared" si="0"/>
        <v>0</v>
      </c>
      <c r="H62" s="8">
        <f>SUM(F61:F80)</f>
        <v>0</v>
      </c>
    </row>
    <row r="63" spans="1:9" x14ac:dyDescent="0.25">
      <c r="A63" t="s">
        <v>8</v>
      </c>
      <c r="B63" s="3">
        <v>45930</v>
      </c>
      <c r="C63" s="1" t="s">
        <v>4</v>
      </c>
      <c r="D63" s="17"/>
      <c r="E63"/>
      <c r="F63" s="6">
        <f t="shared" si="0"/>
        <v>0</v>
      </c>
    </row>
    <row r="64" spans="1:9" x14ac:dyDescent="0.25">
      <c r="A64" t="s">
        <v>9</v>
      </c>
      <c r="D64"/>
      <c r="E64"/>
      <c r="F64" s="6">
        <f t="shared" si="0"/>
        <v>0</v>
      </c>
    </row>
    <row r="65" spans="1:6" x14ac:dyDescent="0.25">
      <c r="A65" t="s">
        <v>21</v>
      </c>
      <c r="D65" s="17"/>
      <c r="E65"/>
      <c r="F65" s="6">
        <f t="shared" si="0"/>
        <v>0</v>
      </c>
    </row>
    <row r="66" spans="1:6" x14ac:dyDescent="0.25">
      <c r="A66" t="s">
        <v>11</v>
      </c>
      <c r="D66"/>
      <c r="E66"/>
      <c r="F66" s="6">
        <f t="shared" si="0"/>
        <v>0</v>
      </c>
    </row>
    <row r="67" spans="1:6" x14ac:dyDescent="0.25">
      <c r="D67" s="17"/>
      <c r="E67"/>
      <c r="F67" s="6">
        <f t="shared" si="0"/>
        <v>0</v>
      </c>
    </row>
    <row r="68" spans="1:6" x14ac:dyDescent="0.25">
      <c r="A68" t="s">
        <v>12</v>
      </c>
      <c r="D68" s="17"/>
      <c r="E68"/>
      <c r="F68" s="6">
        <f t="shared" si="0"/>
        <v>0</v>
      </c>
    </row>
    <row r="69" spans="1:6" x14ac:dyDescent="0.25">
      <c r="D69" s="17"/>
      <c r="E69"/>
      <c r="F69" s="6">
        <f t="shared" si="0"/>
        <v>0</v>
      </c>
    </row>
    <row r="70" spans="1:6" x14ac:dyDescent="0.25">
      <c r="D70"/>
      <c r="E70"/>
      <c r="F70" s="6">
        <f t="shared" si="0"/>
        <v>0</v>
      </c>
    </row>
    <row r="71" spans="1:6" x14ac:dyDescent="0.25">
      <c r="B71"/>
      <c r="C71"/>
      <c r="D71"/>
      <c r="E71"/>
      <c r="F71" s="6">
        <f t="shared" si="0"/>
        <v>0</v>
      </c>
    </row>
    <row r="72" spans="1:6" ht="16" x14ac:dyDescent="0.2">
      <c r="B72"/>
      <c r="C72"/>
      <c r="D72"/>
      <c r="E72"/>
      <c r="F72"/>
    </row>
    <row r="73" spans="1:6" ht="16" x14ac:dyDescent="0.2">
      <c r="B73"/>
      <c r="C73"/>
      <c r="D73"/>
      <c r="E73"/>
      <c r="F7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Forcast</vt:lpstr>
      <vt:lpstr>Dec 24</vt:lpstr>
      <vt:lpstr>January 25</vt:lpstr>
      <vt:lpstr>February 25</vt:lpstr>
      <vt:lpstr>March 25</vt:lpstr>
      <vt:lpstr>April 25</vt:lpstr>
      <vt:lpstr>May 25</vt:lpstr>
      <vt:lpstr>June 25</vt:lpstr>
      <vt:lpstr>July 25</vt:lpstr>
      <vt:lpstr>Aug 25</vt:lpstr>
      <vt:lpstr>Sept 25</vt:lpstr>
      <vt:lpstr>Oct 25</vt:lpstr>
      <vt:lpstr>Nov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Leonard Fraser</cp:lastModifiedBy>
  <dcterms:created xsi:type="dcterms:W3CDTF">2024-12-07T06:59:37Z</dcterms:created>
  <dcterms:modified xsi:type="dcterms:W3CDTF">2025-11-21T16:11:26Z</dcterms:modified>
</cp:coreProperties>
</file>